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README" sheetId="2" state="visible" r:id="rId4"/>
    <sheet name="Assumptions" sheetId="3" state="visible" r:id="rId5"/>
    <sheet name="Data_Quality_Log" sheetId="4" state="visible" r:id="rId6"/>
    <sheet name="Raw_SKU_Master" sheetId="5" state="visible" r:id="rId7"/>
    <sheet name="Raw_Sales_Weekly" sheetId="6" state="visible" r:id="rId8"/>
    <sheet name="Raw_Inventory_Monthly" sheetId="7" state="visible" r:id="rId9"/>
    <sheet name="ABC_XYZ_Classification" sheetId="8" state="visible" r:id="rId10"/>
    <sheet name="Inventory_Planning_Model" sheetId="9" state="visible" r:id="rId11"/>
    <sheet name="Forecast_Detail" sheetId="10" state="visible" r:id="rId12"/>
    <sheet name="Forecast_MAPE_Summar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<sst xmlns="http://schemas.openxmlformats.org/spreadsheetml/2006/main" count="6434" uniqueCount="387">
  <si>
    <t xml:space="preserve">Meridian Manufacturing Co. — Inventory Health Executive Summary</t>
  </si>
  <si>
    <t xml:space="preserve">40-SKU catalog | 12 months of sales &amp; inventory history | All figures below are live formulas</t>
  </si>
  <si>
    <t xml:space="preserve">Total SKUs Analyzed</t>
  </si>
  <si>
    <t xml:space="preserve">SKUs at Stockout Risk</t>
  </si>
  <si>
    <t xml:space="preserve">SKUs Overstocked</t>
  </si>
  <si>
    <t xml:space="preserve">Excess-Risk SKUs (Overstocked + Erratic)</t>
  </si>
  <si>
    <t xml:space="preserve">Total Avg. Inventory Value</t>
  </si>
  <si>
    <t xml:space="preserve">Value Tied Up in Excess-Risk SKUs</t>
  </si>
  <si>
    <t xml:space="preserve">Catalog Inventory Turnover</t>
  </si>
  <si>
    <t xml:space="preserve">Forecast Accuracy (WAPE)</t>
  </si>
  <si>
    <t xml:space="preserve">ABC x XYZ Matrix — SKU Count</t>
  </si>
  <si>
    <t xml:space="preserve">X (Steady)</t>
  </si>
  <si>
    <t xml:space="preserve">Y (Moderate)</t>
  </si>
  <si>
    <t xml:space="preserve">Z (Erratic)</t>
  </si>
  <si>
    <t xml:space="preserve">A (Top 80% revenue)</t>
  </si>
  <si>
    <t xml:space="preserve">B (Next 15%)</t>
  </si>
  <si>
    <t xml:space="preserve">C (Bottom 5%)</t>
  </si>
  <si>
    <t xml:space="preserve">AZ (top-revenue + erratic-demand) is the highest-attention cell: valuable, unpredictable, and expensive to get wrong either way.</t>
  </si>
  <si>
    <t xml:space="preserve">Excess-Risk SKUs (Overstocked + Erratic Demand)</t>
  </si>
  <si>
    <t xml:space="preserve">SKU_ID</t>
  </si>
  <si>
    <t xml:space="preserve">Description</t>
  </si>
  <si>
    <t xml:space="preserve">Category</t>
  </si>
  <si>
    <t xml:space="preserve">Days_of_Supply</t>
  </si>
  <si>
    <t xml:space="preserve">Lead_Time_Days</t>
  </si>
  <si>
    <t xml:space="preserve">Avg_Inventory_Value</t>
  </si>
  <si>
    <t xml:space="preserve">Source: simulated NetSuite-style export, Meridian Manufacturing Co. | Model built in Excel with live formulas | See README tab for methodology &amp; assumptions.</t>
  </si>
  <si>
    <t xml:space="preserve">Meridian Manufacturing Co. — Demand Forecasting &amp; Inventory Balancing Model</t>
  </si>
  <si>
    <t xml:space="preserve">Supply Chain Analytics Portfolio — Project 2</t>
  </si>
  <si>
    <t xml:space="preserve">What this workbook does</t>
  </si>
  <si>
    <t xml:space="preserve">Turns a simulated 12-month NetSuite-style sales/inventory export (40 SKUs) into a live</t>
  </si>
  <si>
    <t xml:space="preserve">replenishment planning model: ABC/XYZ classification, safety stock &amp; reorder points, EOQ,</t>
  </si>
  <si>
    <t xml:space="preserve">a FORECAST.LINEAR demand baseline with a measured MAPE, and a red/yellow/green inventory</t>
  </si>
  <si>
    <t xml:space="preserve">health flag for every SKU.</t>
  </si>
  <si>
    <t xml:space="preserve">Tab guide</t>
  </si>
  <si>
    <t xml:space="preserve">Assumptions</t>
  </si>
  <si>
    <t xml:space="preserve">Every hardcoded input used anywhere in this model, in one place.</t>
  </si>
  <si>
    <t xml:space="preserve">Data_Quality_Log</t>
  </si>
  <si>
    <t xml:space="preserve">What was messy in the raw export and how it was cleaned before this workbook.</t>
  </si>
  <si>
    <t xml:space="preserve">Raw_SKU_Master</t>
  </si>
  <si>
    <t xml:space="preserve">40-SKU catalog: category, supplier, cost, price, UOM, lead time.</t>
  </si>
  <si>
    <t xml:space="preserve">Raw_Sales_Weekly</t>
  </si>
  <si>
    <t xml:space="preserve">1,805 rows of cleaned weekly sell-through, one row per SKU per week.</t>
  </si>
  <si>
    <t xml:space="preserve">Raw_Inventory_Monthly</t>
  </si>
  <si>
    <t xml:space="preserve">480 rows of month-end on-hand / on-order snapshots.</t>
  </si>
  <si>
    <t xml:space="preserve">ABC_XYZ_Classification</t>
  </si>
  <si>
    <t xml:space="preserve">Revenue-based ABC tier x demand-variability XYZ tier for every SKU.</t>
  </si>
  <si>
    <t xml:space="preserve">Inventory_Planning_Model</t>
  </si>
  <si>
    <t xml:space="preserve">Safety stock, reorder point, EOQ, and stockout/overstock status — all live formulas.</t>
  </si>
  <si>
    <t xml:space="preserve">Forecast_Detail</t>
  </si>
  <si>
    <t xml:space="preserve">Week-by-week forecast-vs-actual for the 6-week holdout, 36 eligible SKUs.</t>
  </si>
  <si>
    <t xml:space="preserve">Forecast_MAPE_Summary</t>
  </si>
  <si>
    <t xml:space="preserve">Forecast accuracy (MAPE) by SKU, plus the catalog-wide average.</t>
  </si>
  <si>
    <t xml:space="preserve">Executive_Summary</t>
  </si>
  <si>
    <t xml:space="preserve">The one-page view: KPI cards, ABC/XYZ matrix, and the SKUs that matter most.</t>
  </si>
  <si>
    <t xml:space="preserve">Color key</t>
  </si>
  <si>
    <t xml:space="preserve">Blue text</t>
  </si>
  <si>
    <t xml:space="preserve">Hardcoded input or assumption</t>
  </si>
  <si>
    <t xml:space="preserve">Black text</t>
  </si>
  <si>
    <t xml:space="preserve">Formula (same sheet)</t>
  </si>
  <si>
    <t xml:space="preserve">Green text</t>
  </si>
  <si>
    <t xml:space="preserve">Formula linking to another sheet</t>
  </si>
  <si>
    <t xml:space="preserve">Red / Yellow / Green fill</t>
  </si>
  <si>
    <t xml:space="preserve">Stockout risk / Overstock / Healthy (Inventory_Planning_Model tab)</t>
  </si>
  <si>
    <t xml:space="preserve">Model Assumptions</t>
  </si>
  <si>
    <t xml:space="preserve">Every hardcoded number used in a formula elsewhere in this workbook is defined here, once.</t>
  </si>
  <si>
    <t xml:space="preserve">Name</t>
  </si>
  <si>
    <t xml:space="preserve">Value</t>
  </si>
  <si>
    <t xml:space="preserve">Cell</t>
  </si>
  <si>
    <t xml:space="preserve">Used for</t>
  </si>
  <si>
    <t xml:space="preserve">Rationale</t>
  </si>
  <si>
    <t xml:space="preserve">Service_Level_Z</t>
  </si>
  <si>
    <t xml:space="preserve">C6</t>
  </si>
  <si>
    <t xml:space="preserve">Safety stock</t>
  </si>
  <si>
    <t xml:space="preserve">Z-score for a 95% single-tail service level (industry-standard planning target).</t>
  </si>
  <si>
    <t xml:space="preserve">Order_Cost_S</t>
  </si>
  <si>
    <t xml:space="preserve">C7</t>
  </si>
  <si>
    <t xml:space="preserve">EOQ</t>
  </si>
  <si>
    <t xml:space="preserve">Assumed fixed cost per purchase order ($): PO processing + receiving labor.</t>
  </si>
  <si>
    <t xml:space="preserve">Holding_Cost_Rate</t>
  </si>
  <si>
    <t xml:space="preserve">C8</t>
  </si>
  <si>
    <t xml:space="preserve">Annual carrying cost as % of unit cost (typical industrial range: 18-30%).</t>
  </si>
  <si>
    <t xml:space="preserve">MOQ_Lot_Size</t>
  </si>
  <si>
    <t xml:space="preserve">C9</t>
  </si>
  <si>
    <t xml:space="preserve">Order rounding</t>
  </si>
  <si>
    <t xml:space="preserve">Assumed minimum order lot size (units) enforced via ROUNDUP across the catalog.</t>
  </si>
  <si>
    <t xml:space="preserve">Forecast_Holdout_Weeks</t>
  </si>
  <si>
    <t xml:space="preserve">C10</t>
  </si>
  <si>
    <t xml:space="preserve">MAPE test</t>
  </si>
  <si>
    <t xml:space="preserve">Most recent 6 weeks per SKU held out and forecast from the prior weeks to measure accuracy.</t>
  </si>
  <si>
    <t xml:space="preserve">Min_Weeks_For_Forecast</t>
  </si>
  <si>
    <t xml:space="preserve">C11</t>
  </si>
  <si>
    <t xml:space="preserve">MAPE eligibility</t>
  </si>
  <si>
    <t xml:space="preserve">SKUs with fewer weeks of history are excluded from statistical forecasting (too new/sparse).</t>
  </si>
  <si>
    <t xml:space="preserve">ABC_A_Cutoff</t>
  </si>
  <si>
    <t xml:space="preserve">C12</t>
  </si>
  <si>
    <t xml:space="preserve">ABC class</t>
  </si>
  <si>
    <t xml:space="preserve">SKUs contributing to the top 80% of cumulative revenue -&gt; Class A.</t>
  </si>
  <si>
    <t xml:space="preserve">ABC_B_Cutoff</t>
  </si>
  <si>
    <t xml:space="preserve">C13</t>
  </si>
  <si>
    <t xml:space="preserve">Next slice, 80-95% cumulative revenue -&gt; Class B. Remainder -&gt; Class C.</t>
  </si>
  <si>
    <t xml:space="preserve">XYZ_X_Cutoff</t>
  </si>
  <si>
    <t xml:space="preserve">C14</t>
  </si>
  <si>
    <t xml:space="preserve">XYZ class</t>
  </si>
  <si>
    <t xml:space="preserve">Coefficient of variation &lt;= 0.30 -&gt; steady demand (X).</t>
  </si>
  <si>
    <t xml:space="preserve">XYZ_Y_Cutoff</t>
  </si>
  <si>
    <t xml:space="preserve">C15</t>
  </si>
  <si>
    <t xml:space="preserve">CV 0.30-0.55 -&gt; moderate variability (Y). Above 0.55 -&gt; erratic (Z).</t>
  </si>
  <si>
    <t xml:space="preserve">Stockout_Multiple</t>
  </si>
  <si>
    <t xml:space="preserve">C16</t>
  </si>
  <si>
    <t xml:space="preserve">Inventory status</t>
  </si>
  <si>
    <t xml:space="preserve">Days of supply (incl. pipeline) &lt; 1x lead time -&gt; Stockout Risk.</t>
  </si>
  <si>
    <t xml:space="preserve">Overstock_Multiple</t>
  </si>
  <si>
    <t xml:space="preserve">C17</t>
  </si>
  <si>
    <t xml:space="preserve">Days of supply (incl. pipeline) &gt; 3x lead time -&gt; Overstock.</t>
  </si>
  <si>
    <t xml:space="preserve">Weeks_Per_Year</t>
  </si>
  <si>
    <t xml:space="preserve">C18</t>
  </si>
  <si>
    <t xml:space="preserve">Annualization</t>
  </si>
  <si>
    <t xml:space="preserve">Used to annualize weekly demand into EOQ's D term.</t>
  </si>
  <si>
    <t xml:space="preserve">Data Quality Log — Raw NetSuite Export</t>
  </si>
  <si>
    <t xml:space="preserve">Issues found in the raw export and how each was resolved before building this workbook.</t>
  </si>
  <si>
    <t xml:space="preserve">Issue</t>
  </si>
  <si>
    <t xml:space="preserve">Where found</t>
  </si>
  <si>
    <t xml:space="preserve">Raw example</t>
  </si>
  <si>
    <t xml:space="preserve">Resolution</t>
  </si>
  <si>
    <t xml:space="preserve">Mixed date formats</t>
  </si>
  <si>
    <t xml:space="preserve">Sales export, Order_Date</t>
  </si>
  <si>
    <t xml:space="preserve">01/18/2026, 2026-01-18, 18-Jan-2026, 01/18/26</t>
  </si>
  <si>
    <t xml:space="preserve">Parsed all 4 formats to ISO dates in Python/SQL before loading; 0 unparseable after cleaning.</t>
  </si>
  <si>
    <t xml:space="preserve">Duplicate transaction rows</t>
  </si>
  <si>
    <t xml:space="preserve">Sales export</t>
  </si>
  <si>
    <t xml:space="preserve">27 exact-duplicate rows (~1.5% of file)</t>
  </si>
  <si>
    <t xml:space="preserve">Dropped via SQL DISTINCT on SKU + date + qty + revenue + warehouse.</t>
  </si>
  <si>
    <t xml:space="preserve">UOM inconsistency</t>
  </si>
  <si>
    <t xml:space="preserve">SKU master &amp; inventory snapshot</t>
  </si>
  <si>
    <t xml:space="preserve">EA / Each / each / ea.  |  PCS / pcs / Pcs</t>
  </si>
  <si>
    <t xml:space="preserve">Standardized to 4 canonical codes (EA, PCS, BOX, FT) via a lookup table.</t>
  </si>
  <si>
    <t xml:space="preserve">Supplier name casing</t>
  </si>
  <si>
    <t xml:space="preserve">SKU master</t>
  </si>
  <si>
    <t xml:space="preserve">Midwest Fastener Co. / MIDWEST FASTENER CO. / midwest fastener co.</t>
  </si>
  <si>
    <t xml:space="preserve">Standardized to title case.</t>
  </si>
  <si>
    <t xml:space="preserve">Missing On_Order_Qty</t>
  </si>
  <si>
    <t xml:space="preserve">Inventory snapshot</t>
  </si>
  <si>
    <t xml:space="preserve">46 of 480 rows (9.6%) blank</t>
  </si>
  <si>
    <t xml:space="preserve">Treated as 0 (no open PO) with a flag column retained so the gap stays visible, not hidden.</t>
  </si>
  <si>
    <t xml:space="preserve">Sparse / new-SKU history</t>
  </si>
  <si>
    <t xml:space="preserve">4 SKUs with &lt;15 weeks of recorded sales</t>
  </si>
  <si>
    <t xml:space="preserve">Excluded from statistical forecasting (Forecast_MAPE_Summary); flagged for judgmental forecasting instead.</t>
  </si>
  <si>
    <t xml:space="preserve">SKU_Description</t>
  </si>
  <si>
    <t xml:space="preserve">Supplier (cleaned)</t>
  </si>
  <si>
    <t xml:space="preserve">Unit_Cost</t>
  </si>
  <si>
    <t xml:space="preserve">Unit_Price</t>
  </si>
  <si>
    <t xml:space="preserve">UOM (raw)</t>
  </si>
  <si>
    <t xml:space="preserve">UOM (clean)</t>
  </si>
  <si>
    <t xml:space="preserve">Warehouse</t>
  </si>
  <si>
    <t xml:space="preserve">MM-1000</t>
  </si>
  <si>
    <t xml:space="preserve">Fasteners Item 01 - Fasteners &amp; Hardware</t>
  </si>
  <si>
    <t xml:space="preserve">Fasteners &amp; Hardware</t>
  </si>
  <si>
    <t xml:space="preserve">Midwest Fastener Co.</t>
  </si>
  <si>
    <t xml:space="preserve">PCS</t>
  </si>
  <si>
    <t xml:space="preserve">WH-OHIO</t>
  </si>
  <si>
    <t xml:space="preserve">MM-1001</t>
  </si>
  <si>
    <t xml:space="preserve">Fasteners Item 02 - Fasteners &amp; Hardware</t>
  </si>
  <si>
    <t xml:space="preserve">EA</t>
  </si>
  <si>
    <t xml:space="preserve">WH-NEVADA</t>
  </si>
  <si>
    <t xml:space="preserve">MM-1002</t>
  </si>
  <si>
    <t xml:space="preserve">Fasteners Item 03 - Fasteners &amp; Hardware</t>
  </si>
  <si>
    <t xml:space="preserve">ea.</t>
  </si>
  <si>
    <t xml:space="preserve">MM-1003</t>
  </si>
  <si>
    <t xml:space="preserve">Fasteners Item 04 - Fasteners &amp; Hardware</t>
  </si>
  <si>
    <t xml:space="preserve">box</t>
  </si>
  <si>
    <t xml:space="preserve">BOX</t>
  </si>
  <si>
    <t xml:space="preserve">MM-1004</t>
  </si>
  <si>
    <t xml:space="preserve">Fasteners Item 05 - Fasteners &amp; Hardware</t>
  </si>
  <si>
    <t xml:space="preserve">MM-1005</t>
  </si>
  <si>
    <t xml:space="preserve">Bearings Item 01 - Bearings &amp; Bushings</t>
  </si>
  <si>
    <t xml:space="preserve">Bearings &amp; Bushings</t>
  </si>
  <si>
    <t xml:space="preserve">Precision Bearing Supply</t>
  </si>
  <si>
    <t xml:space="preserve">pcs</t>
  </si>
  <si>
    <t xml:space="preserve">MM-1006</t>
  </si>
  <si>
    <t xml:space="preserve">Bearings Item 02 - Bearings &amp; Bushings</t>
  </si>
  <si>
    <t xml:space="preserve">WH-TEXAS</t>
  </si>
  <si>
    <t xml:space="preserve">MM-1007</t>
  </si>
  <si>
    <t xml:space="preserve">Bearings Item 03 - Bearings &amp; Bushings</t>
  </si>
  <si>
    <t xml:space="preserve">MM-1008</t>
  </si>
  <si>
    <t xml:space="preserve">Bearings Item 04 - Bearings &amp; Bushings</t>
  </si>
  <si>
    <t xml:space="preserve">MM-1009</t>
  </si>
  <si>
    <t xml:space="preserve">Bearings Item 05 - Bearings &amp; Bushings</t>
  </si>
  <si>
    <t xml:space="preserve">each</t>
  </si>
  <si>
    <t xml:space="preserve">MM-1010</t>
  </si>
  <si>
    <t xml:space="preserve">Electric Motors Item 01 - Electric Motors &amp; Drives</t>
  </si>
  <si>
    <t xml:space="preserve">Electric Motors &amp; Drives</t>
  </si>
  <si>
    <t xml:space="preserve">Torque Dynamics Llc</t>
  </si>
  <si>
    <t xml:space="preserve">MM-1011</t>
  </si>
  <si>
    <t xml:space="preserve">Electric Motors Item 02 - Electric Motors &amp; Drives</t>
  </si>
  <si>
    <t xml:space="preserve">Each</t>
  </si>
  <si>
    <t xml:space="preserve">MM-1012</t>
  </si>
  <si>
    <t xml:space="preserve">Electric Motors Item 03 - Electric Motors &amp; Drives</t>
  </si>
  <si>
    <t xml:space="preserve">MM-1013</t>
  </si>
  <si>
    <t xml:space="preserve">Electric Motors Item 04 - Electric Motors &amp; Drives</t>
  </si>
  <si>
    <t xml:space="preserve">MM-1014</t>
  </si>
  <si>
    <t xml:space="preserve">Electric Motors Item 05 - Electric Motors &amp; Drives</t>
  </si>
  <si>
    <t xml:space="preserve">FT</t>
  </si>
  <si>
    <t xml:space="preserve">MM-1015</t>
  </si>
  <si>
    <t xml:space="preserve">Sensors Item 01 - Sensors &amp; Controls</t>
  </si>
  <si>
    <t xml:space="preserve">Sensors &amp; Controls</t>
  </si>
  <si>
    <t xml:space="preserve">Sentech Industrial</t>
  </si>
  <si>
    <t xml:space="preserve">MM-1016</t>
  </si>
  <si>
    <t xml:space="preserve">Sensors Item 02 - Sensors &amp; Controls</t>
  </si>
  <si>
    <t xml:space="preserve">MM-1017</t>
  </si>
  <si>
    <t xml:space="preserve">Sensors Item 03 - Sensors &amp; Controls</t>
  </si>
  <si>
    <t xml:space="preserve">MM-1018</t>
  </si>
  <si>
    <t xml:space="preserve">Sensors Item 04 - Sensors &amp; Controls</t>
  </si>
  <si>
    <t xml:space="preserve">Feet</t>
  </si>
  <si>
    <t xml:space="preserve">MM-1019</t>
  </si>
  <si>
    <t xml:space="preserve">Sensors Item 05 - Sensors &amp; Controls</t>
  </si>
  <si>
    <t xml:space="preserve">MM-1020</t>
  </si>
  <si>
    <t xml:space="preserve">Seals Item 01 - Seals &amp; Gaskets</t>
  </si>
  <si>
    <t xml:space="preserve">Seals &amp; Gaskets</t>
  </si>
  <si>
    <t xml:space="preserve">Apex Rubber &amp; Seal</t>
  </si>
  <si>
    <t xml:space="preserve">MM-1021</t>
  </si>
  <si>
    <t xml:space="preserve">Seals Item 02 - Seals &amp; Gaskets</t>
  </si>
  <si>
    <t xml:space="preserve">MM-1022</t>
  </si>
  <si>
    <t xml:space="preserve">Seals Item 03 - Seals &amp; Gaskets</t>
  </si>
  <si>
    <t xml:space="preserve">MM-1023</t>
  </si>
  <si>
    <t xml:space="preserve">Seals Item 04 - Seals &amp; Gaskets</t>
  </si>
  <si>
    <t xml:space="preserve">Box</t>
  </si>
  <si>
    <t xml:space="preserve">MM-1024</t>
  </si>
  <si>
    <t xml:space="preserve">Seals Item 05 - Seals &amp; Gaskets</t>
  </si>
  <si>
    <t xml:space="preserve">MM-1025</t>
  </si>
  <si>
    <t xml:space="preserve">Pneumatic Components Item 01 - Pneumatic Components</t>
  </si>
  <si>
    <t xml:space="preserve">Pneumatic Components</t>
  </si>
  <si>
    <t xml:space="preserve">Airflow Pneumatics Inc.</t>
  </si>
  <si>
    <t xml:space="preserve">MM-1026</t>
  </si>
  <si>
    <t xml:space="preserve">Pneumatic Components Item 02 - Pneumatic Components</t>
  </si>
  <si>
    <t xml:space="preserve">MM-1027</t>
  </si>
  <si>
    <t xml:space="preserve">Pneumatic Components Item 03 - Pneumatic Components</t>
  </si>
  <si>
    <t xml:space="preserve">MM-1028</t>
  </si>
  <si>
    <t xml:space="preserve">Pneumatic Components Item 04 - Pneumatic Components</t>
  </si>
  <si>
    <t xml:space="preserve">ft</t>
  </si>
  <si>
    <t xml:space="preserve">MM-1029</t>
  </si>
  <si>
    <t xml:space="preserve">Pneumatic Components Item 05 - Pneumatic Components</t>
  </si>
  <si>
    <t xml:space="preserve">MM-1030</t>
  </si>
  <si>
    <t xml:space="preserve">Raw Material Item 01 - Raw Material - Metal Stock</t>
  </si>
  <si>
    <t xml:space="preserve">Raw Material - Metal Stock</t>
  </si>
  <si>
    <t xml:space="preserve">Great Lakes Steel Supply</t>
  </si>
  <si>
    <t xml:space="preserve">MM-1031</t>
  </si>
  <si>
    <t xml:space="preserve">Raw Material Item 02 - Raw Material - Metal Stock</t>
  </si>
  <si>
    <t xml:space="preserve">MM-1032</t>
  </si>
  <si>
    <t xml:space="preserve">Raw Material Item 03 - Raw Material - Metal Stock</t>
  </si>
  <si>
    <t xml:space="preserve">MM-1033</t>
  </si>
  <si>
    <t xml:space="preserve">Raw Material Item 04 - Raw Material - Metal Stock</t>
  </si>
  <si>
    <t xml:space="preserve">MM-1034</t>
  </si>
  <si>
    <t xml:space="preserve">Raw Material Item 05 - Raw Material - Metal Stock</t>
  </si>
  <si>
    <t xml:space="preserve">Pcs</t>
  </si>
  <si>
    <t xml:space="preserve">MM-1035</t>
  </si>
  <si>
    <t xml:space="preserve">Packaging Materials Item 01 - Packaging Materials</t>
  </si>
  <si>
    <t xml:space="preserve">Packaging Materials</t>
  </si>
  <si>
    <t xml:space="preserve">Securepack Solutions</t>
  </si>
  <si>
    <t xml:space="preserve">MM-1036</t>
  </si>
  <si>
    <t xml:space="preserve">Packaging Materials Item 02 - Packaging Materials</t>
  </si>
  <si>
    <t xml:space="preserve">MM-1037</t>
  </si>
  <si>
    <t xml:space="preserve">Packaging Materials Item 03 - Packaging Materials</t>
  </si>
  <si>
    <t xml:space="preserve">MM-1038</t>
  </si>
  <si>
    <t xml:space="preserve">Packaging Materials Item 04 - Packaging Materials</t>
  </si>
  <si>
    <t xml:space="preserve">MM-1039</t>
  </si>
  <si>
    <t xml:space="preserve">Packaging Materials Item 05 - Packaging Materials</t>
  </si>
  <si>
    <t xml:space="preserve">Week_Ending</t>
  </si>
  <si>
    <t xml:space="preserve">Qty_Sold</t>
  </si>
  <si>
    <t xml:space="preserve">Revenue</t>
  </si>
  <si>
    <t xml:space="preserve">Week_Index</t>
  </si>
  <si>
    <t xml:space="preserve">2025-07-13</t>
  </si>
  <si>
    <t xml:space="preserve">2025-07-20</t>
  </si>
  <si>
    <t xml:space="preserve">2025-07-27</t>
  </si>
  <si>
    <t xml:space="preserve">2025-08-03</t>
  </si>
  <si>
    <t xml:space="preserve">2025-08-10</t>
  </si>
  <si>
    <t xml:space="preserve">2025-08-17</t>
  </si>
  <si>
    <t xml:space="preserve">2025-08-24</t>
  </si>
  <si>
    <t xml:space="preserve">2025-08-31</t>
  </si>
  <si>
    <t xml:space="preserve">2025-09-07</t>
  </si>
  <si>
    <t xml:space="preserve">2025-09-14</t>
  </si>
  <si>
    <t xml:space="preserve">2025-09-21</t>
  </si>
  <si>
    <t xml:space="preserve">2025-09-28</t>
  </si>
  <si>
    <t xml:space="preserve">2025-10-05</t>
  </si>
  <si>
    <t xml:space="preserve">2025-10-12</t>
  </si>
  <si>
    <t xml:space="preserve">2025-10-19</t>
  </si>
  <si>
    <t xml:space="preserve">2025-10-26</t>
  </si>
  <si>
    <t xml:space="preserve">2025-11-02</t>
  </si>
  <si>
    <t xml:space="preserve">2025-11-09</t>
  </si>
  <si>
    <t xml:space="preserve">2025-11-16</t>
  </si>
  <si>
    <t xml:space="preserve">2025-11-23</t>
  </si>
  <si>
    <t xml:space="preserve">2025-11-30</t>
  </si>
  <si>
    <t xml:space="preserve">2025-12-07</t>
  </si>
  <si>
    <t xml:space="preserve">2025-12-14</t>
  </si>
  <si>
    <t xml:space="preserve">2025-12-21</t>
  </si>
  <si>
    <t xml:space="preserve">2025-12-28</t>
  </si>
  <si>
    <t xml:space="preserve">2026-01-04</t>
  </si>
  <si>
    <t xml:space="preserve">2026-01-11</t>
  </si>
  <si>
    <t xml:space="preserve">2026-01-18</t>
  </si>
  <si>
    <t xml:space="preserve">2026-01-25</t>
  </si>
  <si>
    <t xml:space="preserve">2026-02-01</t>
  </si>
  <si>
    <t xml:space="preserve">2026-02-08</t>
  </si>
  <si>
    <t xml:space="preserve">2026-02-15</t>
  </si>
  <si>
    <t xml:space="preserve">2026-02-22</t>
  </si>
  <si>
    <t xml:space="preserve">2026-03-01</t>
  </si>
  <si>
    <t xml:space="preserve">2026-03-08</t>
  </si>
  <si>
    <t xml:space="preserve">2026-03-15</t>
  </si>
  <si>
    <t xml:space="preserve">2026-03-22</t>
  </si>
  <si>
    <t xml:space="preserve">2026-03-29</t>
  </si>
  <si>
    <t xml:space="preserve">2026-04-05</t>
  </si>
  <si>
    <t xml:space="preserve">2026-04-12</t>
  </si>
  <si>
    <t xml:space="preserve">2026-04-19</t>
  </si>
  <si>
    <t xml:space="preserve">2026-04-26</t>
  </si>
  <si>
    <t xml:space="preserve">2026-05-03</t>
  </si>
  <si>
    <t xml:space="preserve">2026-05-10</t>
  </si>
  <si>
    <t xml:space="preserve">2026-05-17</t>
  </si>
  <si>
    <t xml:space="preserve">2026-05-24</t>
  </si>
  <si>
    <t xml:space="preserve">2026-05-31</t>
  </si>
  <si>
    <t xml:space="preserve">2026-06-07</t>
  </si>
  <si>
    <t xml:space="preserve">2026-06-14</t>
  </si>
  <si>
    <t xml:space="preserve">2026-06-21</t>
  </si>
  <si>
    <t xml:space="preserve">2026-06-28</t>
  </si>
  <si>
    <t xml:space="preserve">2026-07-05</t>
  </si>
  <si>
    <t xml:space="preserve">Month</t>
  </si>
  <si>
    <t xml:space="preserve">On_Hand_Qty</t>
  </si>
  <si>
    <t xml:space="preserve">On_Order_Qty</t>
  </si>
  <si>
    <t xml:space="preserve">UOM</t>
  </si>
  <si>
    <t xml:space="preserve">On_Order_Qty_Filled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</si>
  <si>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</si>
  <si>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</si>
  <si>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</si>
  <si>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</si>
  <si>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</si>
  <si>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</si>
  <si>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</si>
  <si>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</si>
  <si>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</si>
  <si>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</si>
  <si>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</si>
  <si>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</si>
  <si>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ABC (Revenue) x XYZ (Demand Variability) Classification</t>
  </si>
  <si>
    <t xml:space="preserve">Sorted by revenue, descending. Every value is a live formula against Raw_Sales_Weekly / Raw_SKU_Master.</t>
  </si>
  <si>
    <t xml:space="preserve">Total_Revenue</t>
  </si>
  <si>
    <t xml:space="preserve">Total_Qty_Sold</t>
  </si>
  <si>
    <t xml:space="preserve">Cum_Revenue</t>
  </si>
  <si>
    <t xml:space="preserve">Cum_Pct</t>
  </si>
  <si>
    <t xml:space="preserve">ABC_Class</t>
  </si>
  <si>
    <t xml:space="preserve">Mean_Weekly_Qty</t>
  </si>
  <si>
    <t xml:space="preserve">StDev_Weekly_Qty</t>
  </si>
  <si>
    <t xml:space="preserve">CV</t>
  </si>
  <si>
    <t xml:space="preserve">XYZ_Class</t>
  </si>
  <si>
    <t xml:space="preserve">ABC_XYZ</t>
  </si>
  <si>
    <t xml:space="preserve">Inventory Planning Model</t>
  </si>
  <si>
    <t xml:space="preserve">Safety stock, reorder point, EOQ, and next-period forecast -- every cell is a live formula.</t>
  </si>
  <si>
    <t xml:space="preserve">Excess-Risk Days-of-Supply Threshold (75th pctile, floor 60 days):</t>
  </si>
  <si>
    <t xml:space="preserve">Avg_Daily_Usage</t>
  </si>
  <si>
    <t xml:space="preserve">Lead_Time_Weeks</t>
  </si>
  <si>
    <t xml:space="preserve">Safety_Stock</t>
  </si>
  <si>
    <t xml:space="preserve">Reorder_Point</t>
  </si>
  <si>
    <t xml:space="preserve">Annual_Demand_Qty</t>
  </si>
  <si>
    <t xml:space="preserve">EOQ_Rounded_to_MOQ</t>
  </si>
  <si>
    <t xml:space="preserve">Avg_On_Hand_Qty</t>
  </si>
  <si>
    <t xml:space="preserve">Avg_On_Order_Qty</t>
  </si>
  <si>
    <t xml:space="preserve">Days_of_Supply_Incl_Pipeline</t>
  </si>
  <si>
    <t xml:space="preserve">Inventory_Status</t>
  </si>
  <si>
    <t xml:space="preserve">Next_Period_Forecast_Qty</t>
  </si>
  <si>
    <t xml:space="preserve">Excess_Risk_SKU</t>
  </si>
  <si>
    <t xml:space="preserve">Excess_Risk_Rank</t>
  </si>
  <si>
    <t xml:space="preserve">Forecast Holdout Detail</t>
  </si>
  <si>
    <t xml:space="preserve">Most recent 6 weeks per SKU held out; each is forecast from FORECAST() over that SKU's prior weeks only (no leakage), then compared to what actually happened.</t>
  </si>
  <si>
    <t xml:space="preserve">Actual_Qty</t>
  </si>
  <si>
    <t xml:space="preserve">Forecast_Qty</t>
  </si>
  <si>
    <t xml:space="preserve">APE</t>
  </si>
  <si>
    <t xml:space="preserve">Abs_Error</t>
  </si>
  <si>
    <t xml:space="preserve">Forecast Accuracy Summary (MAPE)</t>
  </si>
  <si>
    <t xml:space="preserve">MAPE = mean absolute percentage error across each SKU's 6-week holdout. Lower is better.</t>
  </si>
  <si>
    <t xml:space="preserve">Catalog-wide MAPE (all holdout weeks, all eligible SKUs):</t>
  </si>
  <si>
    <t xml:space="preserve">Catalog-wide WAPE (volume-weighted, robust to near-zero weeks):</t>
  </si>
  <si>
    <t xml:space="preserve">Note: naive MAPE is inflated by a handful of holdout weeks with very low actual demand (a single-digit actual turns a small unit error into a triple-digit % error). WAPE weights every week by its volume and is the more representative accuracy figure for this catalog.</t>
  </si>
  <si>
    <t xml:space="preserve">Weeks_of_History</t>
  </si>
  <si>
    <t xml:space="preserve">Eligible_for_Forecast</t>
  </si>
  <si>
    <t xml:space="preserve">MAPE</t>
  </si>
  <si>
    <t xml:space="preserve">WAPE</t>
  </si>
  <si>
    <t xml:space="preserve">Accuracy_Tier</t>
  </si>
  <si>
    <t xml:space="preserve">Yes</t>
  </si>
  <si>
    <t xml:space="preserve">No</t>
  </si>
  <si>
    <t xml:space="preserve">N/A</t>
  </si>
  <si>
    <t xml:space="preserve">Insufficient history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</si>
</sst>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\$#,##0"/>
    <numFmt numFmtId="167" formatCode="0.0&quot;x/yr&quot;"/>
    <numFmt numFmtId="168" formatCode="0.0%"/>
    <numFmt numFmtId="169" formatCode="General"/>
    <numFmt numFmtId="170" formatCode="0%"/>
    <numFmt numFmtId="171" formatCode="\$#,##0.00"/>
    <numFmt numFmtId="172" formatCode="0.0"/>
    <numFmt numFmtId="173" formatCode="0.00"/>
    <numFmt numFmtId="174" formatCode="#,##0.0"/>
    <numFmt numFmtId="175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9"/>
      <color rgb="FFA6A6A6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1F7A1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1F7A1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30"/>
    <col collapsed="false" customWidth="true" hidden="false" outlineLevel="0" max="4" min="4" style="1" width="22"/>
    <col collapsed="false" customWidth="true" hidden="false" outlineLevel="0" max="6" min="5" style="1" width="15"/>
    <col collapsed="false" customWidth="true" hidden="false" outlineLevel="0" max="7" min="7" style="1" width="16"/>
    <col collapsed="false" customWidth="true" hidden="false" outlineLevel="0" max="10" min="8" style="1" width="15"/>
    <col collapsed="false" customWidth="true" hidden="false" outlineLevel="0" max="11" min="11" style="1" width="30"/>
    <col collapsed="false" customWidth="true" hidden="false" outlineLevel="0" max="12" min="12" style="1" width="15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4"/>
      <c r="E5" s="4" t="s">
        <v>3</v>
      </c>
      <c r="F5" s="4"/>
      <c r="H5" s="4" t="s">
        <v>4</v>
      </c>
      <c r="I5" s="4"/>
      <c r="K5" s="4" t="s">
        <v>5</v>
      </c>
      <c r="L5" s="4"/>
    </row>
    <row r="6" customFormat="false" ht="15" hidden="false" customHeight="true" outlineLevel="0" collapsed="false">
      <c r="B6" s="5" t="n">
        <f aca="false">COUNTA(Inventory_Planning_Model!A9:A48)</f>
        <v>40</v>
      </c>
      <c r="C6" s="5"/>
      <c r="E6" s="5" t="n">
        <f aca="false">COUNTIF(Inventory_Planning_Model!R9:R48,"Stockout Risk")</f>
        <v>20</v>
      </c>
      <c r="F6" s="5"/>
      <c r="H6" s="5" t="n">
        <f aca="false">COUNTIF(Inventory_Planning_Model!R9:R48,"Overstock")</f>
        <v>5</v>
      </c>
      <c r="I6" s="5"/>
      <c r="K6" s="5" t="n">
        <f aca="false">COUNTIF(Inventory_Planning_Model!V9:V48,"Yes")</f>
        <v>4</v>
      </c>
      <c r="L6" s="5"/>
    </row>
    <row r="7" customFormat="false" ht="15" hidden="false" customHeight="true" outlineLevel="0" collapsed="false">
      <c r="B7" s="5"/>
      <c r="C7" s="5"/>
      <c r="E7" s="5"/>
      <c r="F7" s="5"/>
      <c r="H7" s="5"/>
      <c r="I7" s="5"/>
      <c r="K7" s="5"/>
      <c r="L7" s="5"/>
    </row>
    <row r="9" customFormat="false" ht="15" hidden="false" customHeight="true" outlineLevel="0" collapsed="false">
      <c r="B9" s="4" t="s">
        <v>6</v>
      </c>
      <c r="C9" s="4"/>
      <c r="E9" s="4" t="s">
        <v>7</v>
      </c>
      <c r="F9" s="4"/>
      <c r="H9" s="4" t="s">
        <v>8</v>
      </c>
      <c r="I9" s="4"/>
      <c r="K9" s="4" t="s">
        <v>9</v>
      </c>
      <c r="L9" s="4"/>
    </row>
    <row r="10" customFormat="false" ht="15" hidden="false" customHeight="true" outlineLevel="0" collapsed="false">
      <c r="B10" s="6" t="n">
        <f aca="false">SUM(Inventory_Planning_Model!W9:W48)</f>
        <v>233844.066666667</v>
      </c>
      <c r="C10" s="6"/>
      <c r="E10" s="6" t="n">
        <f aca="false">SUMIF(Inventory_Planning_Model!V9:V48,"Yes",Inventory_Planning_Model!W9:W48)</f>
        <v>111068.735833333</v>
      </c>
      <c r="F10" s="6"/>
      <c r="H10" s="7" t="n">
        <f aca="false">SUMPRODUCT(Inventory_Planning_Model!K9:K48,Inventory_Planning_Model!E9:E48)/SUM(Inventory_Planning_Model!W9:W48)</f>
        <v>7.69700350176371</v>
      </c>
      <c r="I10" s="7"/>
      <c r="K10" s="8" t="n">
        <f aca="false">Forecast_MAPE_Summary!F6</f>
        <v>0.280537077092601</v>
      </c>
      <c r="L10" s="8"/>
    </row>
    <row r="11" customFormat="false" ht="15" hidden="false" customHeight="true" outlineLevel="0" collapsed="false">
      <c r="B11" s="6"/>
      <c r="C11" s="6"/>
      <c r="E11" s="6"/>
      <c r="F11" s="6"/>
      <c r="H11" s="7"/>
      <c r="I11" s="7"/>
      <c r="K11" s="8"/>
      <c r="L11" s="8"/>
    </row>
    <row r="13" customFormat="false" ht="15" hidden="false" customHeight="true" outlineLevel="0" collapsed="false">
      <c r="B13" s="9" t="s">
        <v>10</v>
      </c>
    </row>
    <row r="15" customFormat="false" ht="15" hidden="false" customHeight="true" outlineLevel="0" collapsed="false">
      <c r="C15" s="10" t="s">
        <v>11</v>
      </c>
      <c r="D15" s="10" t="s">
        <v>12</v>
      </c>
      <c r="E15" s="10" t="s">
        <v>13</v>
      </c>
    </row>
    <row r="16" customFormat="false" ht="15" hidden="false" customHeight="true" outlineLevel="0" collapsed="false">
      <c r="B16" s="11" t="s">
        <v>14</v>
      </c>
      <c r="C16" s="12" t="n">
        <f aca="false">COUNTIFS(ABC_XYZ_Classification!$H$6:$H$45,"A",ABC_XYZ_Classification!$L$6:$L$45,"X")</f>
        <v>6</v>
      </c>
      <c r="D16" s="13" t="n">
        <f aca="false">COUNTIFS(ABC_XYZ_Classification!$H$6:$H$45,"A",ABC_XYZ_Classification!$L$6:$L$45,"Y")</f>
        <v>5</v>
      </c>
      <c r="E16" s="14" t="n">
        <f aca="false">COUNTIFS(ABC_XYZ_Classification!$H$6:$H$45,"A",ABC_XYZ_Classification!$L$6:$L$45,"Z")</f>
        <v>4</v>
      </c>
    </row>
    <row r="17" customFormat="false" ht="15" hidden="false" customHeight="true" outlineLevel="0" collapsed="false">
      <c r="B17" s="11" t="s">
        <v>15</v>
      </c>
      <c r="C17" s="12" t="n">
        <f aca="false">COUNTIFS(ABC_XYZ_Classification!$H$6:$H$45,"B",ABC_XYZ_Classification!$L$6:$L$45,"X")</f>
        <v>5</v>
      </c>
      <c r="D17" s="13" t="n">
        <f aca="false">COUNTIFS(ABC_XYZ_Classification!$H$6:$H$45,"B",ABC_XYZ_Classification!$L$6:$L$45,"Y")</f>
        <v>4</v>
      </c>
      <c r="E17" s="15" t="n">
        <f aca="false">COUNTIFS(ABC_XYZ_Classification!$H$6:$H$45,"B",ABC_XYZ_Classification!$L$6:$L$45,"Z")</f>
        <v>1</v>
      </c>
    </row>
    <row r="18" customFormat="false" ht="15" hidden="false" customHeight="true" outlineLevel="0" collapsed="false">
      <c r="B18" s="11" t="s">
        <v>16</v>
      </c>
      <c r="C18" s="12" t="n">
        <f aca="false">COUNTIFS(ABC_XYZ_Classification!$H$6:$H$45,"C",ABC_XYZ_Classification!$L$6:$L$45,"X")</f>
        <v>11</v>
      </c>
      <c r="D18" s="13" t="n">
        <f aca="false">COUNTIFS(ABC_XYZ_Classification!$H$6:$H$45,"C",ABC_XYZ_Classification!$L$6:$L$45,"Y")</f>
        <v>2</v>
      </c>
      <c r="E18" s="15" t="n">
        <f aca="false">COUNTIFS(ABC_XYZ_Classification!$H$6:$H$45,"C",ABC_XYZ_Classification!$L$6:$L$45,"Z")</f>
        <v>2</v>
      </c>
    </row>
    <row r="20" customFormat="false" ht="15" hidden="false" customHeight="true" outlineLevel="0" collapsed="false">
      <c r="B20" s="16" t="s">
        <v>17</v>
      </c>
    </row>
    <row r="23" customFormat="false" ht="15" hidden="false" customHeight="true" outlineLevel="0" collapsed="false">
      <c r="B23" s="9" t="s">
        <v>18</v>
      </c>
    </row>
    <row r="25" customFormat="false" ht="23.25" hidden="false" customHeight="true" outlineLevel="0" collapsed="false">
      <c r="B25" s="17" t="s">
        <v>19</v>
      </c>
      <c r="C25" s="17" t="s">
        <v>20</v>
      </c>
      <c r="D25" s="17" t="s">
        <v>21</v>
      </c>
      <c r="E25" s="17" t="s">
        <v>22</v>
      </c>
      <c r="F25" s="17" t="s">
        <v>23</v>
      </c>
      <c r="G25" s="17" t="s">
        <v>24</v>
      </c>
    </row>
    <row r="26" customFormat="false" ht="15" hidden="false" customHeight="true" outlineLevel="0" collapsed="false">
      <c r="B26" s="18" t="str">
        <f aca="false">IFERROR(INDEX(Inventory_Planning_Model!$A$9:$A$48,MATCH(1,Inventory_Planning_Model!$X$9:$X$48,0)),"—")</f>
        <v>MM-1033</v>
      </c>
      <c r="C26" s="18" t="str">
        <f aca="false">IFERROR(INDEX(Inventory_Planning_Model!$B$9:$B$48,MATCH(1,Inventory_Planning_Model!$X$9:$X$48,0)),"")</f>
        <v>Raw Material Item 04 - Raw Material - Metal Stock</v>
      </c>
      <c r="D26" s="18" t="str">
        <f aca="false">IFERROR(INDEX(Inventory_Planning_Model!$C$9:$C$48,MATCH(1,Inventory_Planning_Model!$X$9:$X$48,0)),"")</f>
        <v>Raw Material - Metal Stock</v>
      </c>
      <c r="E26" s="18" t="n">
        <f aca="false">IFERROR(ROUND(INDEX(Inventory_Planning_Model!$P$9:$P$48,MATCH(1,Inventory_Planning_Model!$X$9:$X$48,0)),0),"")</f>
        <v>71</v>
      </c>
      <c r="F26" s="18" t="n">
        <f aca="false">IFERROR(INDEX(Inventory_Planning_Model!$D$9:$D$48,MATCH(1,Inventory_Planning_Model!$X$9:$X$48,0)),"")</f>
        <v>38</v>
      </c>
      <c r="G26" s="19" t="n">
        <f aca="false">IFERROR(ROUND(INDEX(Inventory_Planning_Model!$W$9:$W$48,MATCH(1,Inventory_Planning_Model!$X$9:$X$48,0)),0),"")</f>
        <v>70522</v>
      </c>
    </row>
    <row r="27" customFormat="false" ht="15" hidden="false" customHeight="true" outlineLevel="0" collapsed="false">
      <c r="B27" s="18" t="str">
        <f aca="false">IFERROR(INDEX(Inventory_Planning_Model!$A$9:$A$48,MATCH(2,Inventory_Planning_Model!$X$9:$X$48,0)),"—")</f>
        <v>MM-1030</v>
      </c>
      <c r="C27" s="18" t="str">
        <f aca="false">IFERROR(INDEX(Inventory_Planning_Model!$B$9:$B$48,MATCH(2,Inventory_Planning_Model!$X$9:$X$48,0)),"")</f>
        <v>Raw Material Item 01 - Raw Material - Metal Stock</v>
      </c>
      <c r="D27" s="18" t="str">
        <f aca="false">IFERROR(INDEX(Inventory_Planning_Model!$C$9:$C$48,MATCH(2,Inventory_Planning_Model!$X$9:$X$48,0)),"")</f>
        <v>Raw Material - Metal Stock</v>
      </c>
      <c r="E27" s="18" t="n">
        <f aca="false">IFERROR(ROUND(INDEX(Inventory_Planning_Model!$P$9:$P$48,MATCH(2,Inventory_Planning_Model!$X$9:$X$48,0)),0),"")</f>
        <v>93</v>
      </c>
      <c r="F27" s="18" t="n">
        <f aca="false">IFERROR(INDEX(Inventory_Planning_Model!$D$9:$D$48,MATCH(2,Inventory_Planning_Model!$X$9:$X$48,0)),"")</f>
        <v>40</v>
      </c>
      <c r="G27" s="19" t="n">
        <f aca="false">IFERROR(ROUND(INDEX(Inventory_Planning_Model!$W$9:$W$48,MATCH(2,Inventory_Planning_Model!$X$9:$X$48,0)),0),"")</f>
        <v>32589</v>
      </c>
    </row>
    <row r="28" customFormat="false" ht="15" hidden="false" customHeight="true" outlineLevel="0" collapsed="false">
      <c r="B28" s="18" t="str">
        <f aca="false">IFERROR(INDEX(Inventory_Planning_Model!$A$9:$A$48,MATCH(3,Inventory_Planning_Model!$X$9:$X$48,0)),"—")</f>
        <v>MM-1028</v>
      </c>
      <c r="C28" s="18" t="str">
        <f aca="false">IFERROR(INDEX(Inventory_Planning_Model!$B$9:$B$48,MATCH(3,Inventory_Planning_Model!$X$9:$X$48,0)),"")</f>
        <v>Pneumatic Components Item 04 - Pneumatic Components</v>
      </c>
      <c r="D28" s="18" t="str">
        <f aca="false">IFERROR(INDEX(Inventory_Planning_Model!$C$9:$C$48,MATCH(3,Inventory_Planning_Model!$X$9:$X$48,0)),"")</f>
        <v>Pneumatic Components</v>
      </c>
      <c r="E28" s="18" t="n">
        <f aca="false">IFERROR(ROUND(INDEX(Inventory_Planning_Model!$P$9:$P$48,MATCH(3,Inventory_Planning_Model!$X$9:$X$48,0)),0),"")</f>
        <v>134</v>
      </c>
      <c r="F28" s="18" t="n">
        <f aca="false">IFERROR(INDEX(Inventory_Planning_Model!$D$9:$D$48,MATCH(3,Inventory_Planning_Model!$X$9:$X$48,0)),"")</f>
        <v>46</v>
      </c>
      <c r="G28" s="19" t="n">
        <f aca="false">IFERROR(ROUND(INDEX(Inventory_Planning_Model!$W$9:$W$48,MATCH(3,Inventory_Planning_Model!$X$9:$X$48,0)),0),"")</f>
        <v>3079</v>
      </c>
    </row>
    <row r="29" customFormat="false" ht="15" hidden="false" customHeight="true" outlineLevel="0" collapsed="false">
      <c r="B29" s="18" t="str">
        <f aca="false">IFERROR(INDEX(Inventory_Planning_Model!$A$9:$A$48,MATCH(4,Inventory_Planning_Model!$X$9:$X$48,0)),"—")</f>
        <v>MM-1003</v>
      </c>
      <c r="C29" s="18" t="str">
        <f aca="false">IFERROR(INDEX(Inventory_Planning_Model!$B$9:$B$48,MATCH(4,Inventory_Planning_Model!$X$9:$X$48,0)),"")</f>
        <v>Fasteners Item 04 - Fasteners &amp; Hardware</v>
      </c>
      <c r="D29" s="18" t="str">
        <f aca="false">IFERROR(INDEX(Inventory_Planning_Model!$C$9:$C$48,MATCH(4,Inventory_Planning_Model!$X$9:$X$48,0)),"")</f>
        <v>Fasteners &amp; Hardware</v>
      </c>
      <c r="E29" s="18" t="n">
        <f aca="false">IFERROR(ROUND(INDEX(Inventory_Planning_Model!$P$9:$P$48,MATCH(4,Inventory_Planning_Model!$X$9:$X$48,0)),0),"")</f>
        <v>351</v>
      </c>
      <c r="F29" s="18" t="n">
        <f aca="false">IFERROR(INDEX(Inventory_Planning_Model!$D$9:$D$48,MATCH(4,Inventory_Planning_Model!$X$9:$X$48,0)),"")</f>
        <v>52</v>
      </c>
      <c r="G29" s="19" t="n">
        <f aca="false">IFERROR(ROUND(INDEX(Inventory_Planning_Model!$W$9:$W$48,MATCH(4,Inventory_Planning_Model!$X$9:$X$48,0)),0),"")</f>
        <v>4879</v>
      </c>
    </row>
    <row r="30" customFormat="false" ht="15" hidden="false" customHeight="true" outlineLevel="0" collapsed="false">
      <c r="B30" s="18" t="str">
        <f aca="false">IFERROR(INDEX(Inventory_Planning_Model!$A$9:$A$48,MATCH(5,Inventory_Planning_Model!$X$9:$X$48,0)),"—")</f>
        <v>—</v>
      </c>
      <c r="C30" s="18" t="str">
        <f aca="false">IFERROR(INDEX(Inventory_Planning_Model!$B$9:$B$48,MATCH(5,Inventory_Planning_Model!$X$9:$X$48,0)),"")</f>
        <v/>
      </c>
      <c r="D30" s="18" t="str">
        <f aca="false">IFERROR(INDEX(Inventory_Planning_Model!$C$9:$C$48,MATCH(5,Inventory_Planning_Model!$X$9:$X$48,0)),"")</f>
        <v/>
      </c>
      <c r="E30" s="18" t="str">
        <f aca="false">IFERROR(ROUND(INDEX(Inventory_Planning_Model!$P$9:$P$48,MATCH(5,Inventory_Planning_Model!$X$9:$X$48,0)),0),"")</f>
        <v/>
      </c>
      <c r="F30" s="18" t="str">
        <f aca="false">IFERROR(INDEX(Inventory_Planning_Model!$D$9:$D$48,MATCH(5,Inventory_Planning_Model!$X$9:$X$48,0)),"")</f>
        <v/>
      </c>
      <c r="G30" s="19" t="str">
        <f aca="false">IFERROR(ROUND(INDEX(Inventory_Planning_Model!$W$9:$W$48,MATCH(5,Inventory_Planning_Model!$X$9:$X$48,0)),0),"")</f>
        <v/>
      </c>
    </row>
    <row r="31" customFormat="false" ht="15" hidden="false" customHeight="true" outlineLevel="0" collapsed="false">
      <c r="B31" s="18" t="str">
        <f aca="false">IFERROR(INDEX(Inventory_Planning_Model!$A$9:$A$48,MATCH(6,Inventory_Planning_Model!$X$9:$X$48,0)),"—")</f>
        <v>—</v>
      </c>
      <c r="C31" s="18" t="str">
        <f aca="false">IFERROR(INDEX(Inventory_Planning_Model!$B$9:$B$48,MATCH(6,Inventory_Planning_Model!$X$9:$X$48,0)),"")</f>
        <v/>
      </c>
      <c r="D31" s="18" t="str">
        <f aca="false">IFERROR(INDEX(Inventory_Planning_Model!$C$9:$C$48,MATCH(6,Inventory_Planning_Model!$X$9:$X$48,0)),"")</f>
        <v/>
      </c>
      <c r="E31" s="18" t="str">
        <f aca="false">IFERROR(ROUND(INDEX(Inventory_Planning_Model!$P$9:$P$48,MATCH(6,Inventory_Planning_Model!$X$9:$X$48,0)),0),"")</f>
        <v/>
      </c>
      <c r="F31" s="18" t="str">
        <f aca="false">IFERROR(INDEX(Inventory_Planning_Model!$D$9:$D$48,MATCH(6,Inventory_Planning_Model!$X$9:$X$48,0)),"")</f>
        <v/>
      </c>
      <c r="G31" s="19" t="str">
        <f aca="false">IFERROR(ROUND(INDEX(Inventory_Planning_Model!$W$9:$W$48,MATCH(6,Inventory_Planning_Model!$X$9:$X$48,0)),0),"")</f>
        <v/>
      </c>
    </row>
    <row r="32" customFormat="false" ht="15" hidden="false" customHeight="true" outlineLevel="0" collapsed="false">
      <c r="B32" s="18" t="str">
        <f aca="false">IFERROR(INDEX(Inventory_Planning_Model!$A$9:$A$48,MATCH(7,Inventory_Planning_Model!$X$9:$X$48,0)),"—")</f>
        <v>—</v>
      </c>
      <c r="C32" s="18" t="str">
        <f aca="false">IFERROR(INDEX(Inventory_Planning_Model!$B$9:$B$48,MATCH(7,Inventory_Planning_Model!$X$9:$X$48,0)),"")</f>
        <v/>
      </c>
      <c r="D32" s="18" t="str">
        <f aca="false">IFERROR(INDEX(Inventory_Planning_Model!$C$9:$C$48,MATCH(7,Inventory_Planning_Model!$X$9:$X$48,0)),"")</f>
        <v/>
      </c>
      <c r="E32" s="18" t="str">
        <f aca="false">IFERROR(ROUND(INDEX(Inventory_Planning_Model!$P$9:$P$48,MATCH(7,Inventory_Planning_Model!$X$9:$X$48,0)),0),"")</f>
        <v/>
      </c>
      <c r="F32" s="18" t="str">
        <f aca="false">IFERROR(INDEX(Inventory_Planning_Model!$D$9:$D$48,MATCH(7,Inventory_Planning_Model!$X$9:$X$48,0)),"")</f>
        <v/>
      </c>
      <c r="G32" s="19" t="str">
        <f aca="false">IFERROR(ROUND(INDEX(Inventory_Planning_Model!$W$9:$W$48,MATCH(7,Inventory_Planning_Model!$X$9:$X$48,0)),0),"")</f>
        <v/>
      </c>
    </row>
    <row r="33" customFormat="false" ht="15" hidden="false" customHeight="true" outlineLevel="0" collapsed="false">
      <c r="B33" s="18" t="str">
        <f aca="false">IFERROR(INDEX(Inventory_Planning_Model!$A$9:$A$48,MATCH(8,Inventory_Planning_Model!$X$9:$X$48,0)),"—")</f>
        <v>—</v>
      </c>
      <c r="C33" s="18" t="str">
        <f aca="false">IFERROR(INDEX(Inventory_Planning_Model!$B$9:$B$48,MATCH(8,Inventory_Planning_Model!$X$9:$X$48,0)),"")</f>
        <v/>
      </c>
      <c r="D33" s="18" t="str">
        <f aca="false">IFERROR(INDEX(Inventory_Planning_Model!$C$9:$C$48,MATCH(8,Inventory_Planning_Model!$X$9:$X$48,0)),"")</f>
        <v/>
      </c>
      <c r="E33" s="18" t="str">
        <f aca="false">IFERROR(ROUND(INDEX(Inventory_Planning_Model!$P$9:$P$48,MATCH(8,Inventory_Planning_Model!$X$9:$X$48,0)),0),"")</f>
        <v/>
      </c>
      <c r="F33" s="18" t="str">
        <f aca="false">IFERROR(INDEX(Inventory_Planning_Model!$D$9:$D$48,MATCH(8,Inventory_Planning_Model!$X$9:$X$48,0)),"")</f>
        <v/>
      </c>
      <c r="G33" s="19" t="str">
        <f aca="false">IFERROR(ROUND(INDEX(Inventory_Planning_Model!$W$9:$W$48,MATCH(8,Inventory_Planning_Model!$X$9:$X$48,0)),0),"")</f>
        <v/>
      </c>
    </row>
    <row r="36" customFormat="false" ht="15" hidden="false" customHeight="true" outlineLevel="0" collapsed="false">
      <c r="B36" s="20" t="s">
        <v>25</v>
      </c>
    </row>
  </sheetData>
  <mergeCells count="16">
    <mergeCell ref="B5:C5"/>
    <mergeCell ref="E5:F5"/>
    <mergeCell ref="H5:I5"/>
    <mergeCell ref="K5:L5"/>
    <mergeCell ref="B6:C7"/>
    <mergeCell ref="E6:F7"/>
    <mergeCell ref="H6:I7"/>
    <mergeCell ref="K6:L7"/>
    <mergeCell ref="B9:C9"/>
    <mergeCell ref="E9:F9"/>
    <mergeCell ref="H9:I9"/>
    <mergeCell ref="K9:L9"/>
    <mergeCell ref="B10:C11"/>
    <mergeCell ref="E10:F11"/>
    <mergeCell ref="H10:I11"/>
    <mergeCell ref="K10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78"/>
  </cols>
  <sheetData>
    <row r="2" customFormat="false" ht="17.25" hidden="false" customHeight="true" outlineLevel="0" collapsed="false">
      <c r="B2" s="21" t="s">
        <v>26</v>
      </c>
    </row>
    <row r="3" customFormat="false" ht="15" hidden="false" customHeight="true" outlineLevel="0" collapsed="false">
      <c r="B3" s="3" t="s">
        <v>27</v>
      </c>
    </row>
    <row r="6" customFormat="false" ht="15" hidden="false" customHeight="true" outlineLevel="0" collapsed="false">
      <c r="B6" s="22" t="s">
        <v>28</v>
      </c>
    </row>
    <row r="7" customFormat="false" ht="15" hidden="false" customHeight="true" outlineLevel="0" collapsed="false">
      <c r="C7" s="23" t="s">
        <v>29</v>
      </c>
    </row>
    <row r="8" customFormat="false" ht="15" hidden="false" customHeight="true" outlineLevel="0" collapsed="false">
      <c r="C8" s="23" t="s">
        <v>30</v>
      </c>
    </row>
    <row r="9" customFormat="false" ht="15" hidden="false" customHeight="true" outlineLevel="0" collapsed="false">
      <c r="C9" s="23" t="s">
        <v>31</v>
      </c>
    </row>
    <row r="10" customFormat="false" ht="15" hidden="false" customHeight="true" outlineLevel="0" collapsed="false">
      <c r="C10" s="23" t="s">
        <v>32</v>
      </c>
    </row>
    <row r="12" customFormat="false" ht="15" hidden="false" customHeight="true" outlineLevel="0" collapsed="false">
      <c r="B12" s="22" t="s">
        <v>33</v>
      </c>
    </row>
    <row r="13" customFormat="false" ht="15" hidden="false" customHeight="true" outlineLevel="0" collapsed="false">
      <c r="B13" s="24" t="s">
        <v>34</v>
      </c>
      <c r="C13" s="23" t="s">
        <v>35</v>
      </c>
    </row>
    <row r="14" customFormat="false" ht="15" hidden="false" customHeight="true" outlineLevel="0" collapsed="false">
      <c r="B14" s="24" t="s">
        <v>36</v>
      </c>
      <c r="C14" s="23" t="s">
        <v>37</v>
      </c>
    </row>
    <row r="15" customFormat="false" ht="15" hidden="false" customHeight="true" outlineLevel="0" collapsed="false">
      <c r="B15" s="24" t="s">
        <v>38</v>
      </c>
      <c r="C15" s="23" t="s">
        <v>39</v>
      </c>
    </row>
    <row r="16" customFormat="false" ht="15" hidden="false" customHeight="true" outlineLevel="0" collapsed="false">
      <c r="B16" s="24" t="s">
        <v>40</v>
      </c>
      <c r="C16" s="23" t="s">
        <v>41</v>
      </c>
    </row>
    <row r="17" customFormat="false" ht="15" hidden="false" customHeight="true" outlineLevel="0" collapsed="false">
      <c r="B17" s="24" t="s">
        <v>42</v>
      </c>
      <c r="C17" s="23" t="s">
        <v>43</v>
      </c>
    </row>
    <row r="18" customFormat="false" ht="15" hidden="false" customHeight="true" outlineLevel="0" collapsed="false">
      <c r="B18" s="24" t="s">
        <v>44</v>
      </c>
      <c r="C18" s="23" t="s">
        <v>45</v>
      </c>
    </row>
    <row r="19" customFormat="false" ht="15" hidden="false" customHeight="true" outlineLevel="0" collapsed="false">
      <c r="B19" s="24" t="s">
        <v>46</v>
      </c>
      <c r="C19" s="23" t="s">
        <v>47</v>
      </c>
    </row>
    <row r="20" customFormat="false" ht="15" hidden="false" customHeight="true" outlineLevel="0" collapsed="false">
      <c r="B20" s="24" t="s">
        <v>48</v>
      </c>
      <c r="C20" s="23" t="s">
        <v>49</v>
      </c>
    </row>
    <row r="21" customFormat="false" ht="15" hidden="false" customHeight="true" outlineLevel="0" collapsed="false">
      <c r="B21" s="24" t="s">
        <v>50</v>
      </c>
      <c r="C21" s="23" t="s">
        <v>51</v>
      </c>
    </row>
    <row r="22" customFormat="false" ht="15" hidden="false" customHeight="true" outlineLevel="0" collapsed="false">
      <c r="B22" s="24" t="s">
        <v>52</v>
      </c>
      <c r="C22" s="23" t="s">
        <v>53</v>
      </c>
    </row>
    <row r="24" customFormat="false" ht="15" hidden="false" customHeight="true" outlineLevel="0" collapsed="false">
      <c r="B24" s="22" t="s">
        <v>54</v>
      </c>
    </row>
    <row r="25" customFormat="false" ht="15" hidden="false" customHeight="true" outlineLevel="0" collapsed="false">
      <c r="B25" s="24" t="s">
        <v>55</v>
      </c>
      <c r="C25" s="23" t="s">
        <v>56</v>
      </c>
    </row>
    <row r="26" customFormat="false" ht="15" hidden="false" customHeight="true" outlineLevel="0" collapsed="false">
      <c r="B26" s="24" t="s">
        <v>57</v>
      </c>
      <c r="C26" s="23" t="s">
        <v>58</v>
      </c>
    </row>
    <row r="27" customFormat="false" ht="15" hidden="false" customHeight="true" outlineLevel="0" collapsed="false">
      <c r="B27" s="24" t="s">
        <v>59</v>
      </c>
      <c r="C27" s="23" t="s">
        <v>60</v>
      </c>
    </row>
    <row r="28" customFormat="false" ht="15" hidden="false" customHeight="true" outlineLevel="0" collapsed="false">
      <c r="B28" s="24" t="s">
        <v>61</v>
      </c>
      <c r="C28" s="2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20"/>
    <col collapsed="false" customWidth="true" hidden="false" outlineLevel="0" max="6" min="6" style="1" width="62"/>
  </cols>
  <sheetData>
    <row r="2" customFormat="false" ht="17.25" hidden="false" customHeight="true" outlineLevel="0" collapsed="false">
      <c r="B2" s="21" t="s">
        <v>63</v>
      </c>
    </row>
    <row r="3" customFormat="false" ht="15" hidden="false" customHeight="true" outlineLevel="0" collapsed="false">
      <c r="B3" s="3" t="s">
        <v>64</v>
      </c>
    </row>
    <row r="5" customFormat="false" ht="25.5" hidden="false" customHeight="true" outlineLevel="0" collapsed="false">
      <c r="B5" s="25" t="s">
        <v>65</v>
      </c>
      <c r="C5" s="25" t="s">
        <v>66</v>
      </c>
      <c r="D5" s="25" t="s">
        <v>67</v>
      </c>
      <c r="E5" s="25" t="s">
        <v>68</v>
      </c>
      <c r="F5" s="25" t="s">
        <v>69</v>
      </c>
    </row>
    <row r="6" customFormat="false" ht="15" hidden="false" customHeight="true" outlineLevel="0" collapsed="false">
      <c r="B6" s="26" t="s">
        <v>70</v>
      </c>
      <c r="C6" s="27" t="n">
        <v>1.65</v>
      </c>
      <c r="D6" s="26" t="s">
        <v>71</v>
      </c>
      <c r="E6" s="26" t="s">
        <v>72</v>
      </c>
      <c r="F6" s="26" t="s">
        <v>73</v>
      </c>
    </row>
    <row r="7" customFormat="false" ht="15" hidden="false" customHeight="true" outlineLevel="0" collapsed="false">
      <c r="B7" s="26" t="s">
        <v>74</v>
      </c>
      <c r="C7" s="27" t="n">
        <v>75</v>
      </c>
      <c r="D7" s="26" t="s">
        <v>75</v>
      </c>
      <c r="E7" s="26" t="s">
        <v>76</v>
      </c>
      <c r="F7" s="26" t="s">
        <v>77</v>
      </c>
    </row>
    <row r="8" customFormat="false" ht="15" hidden="false" customHeight="true" outlineLevel="0" collapsed="false">
      <c r="B8" s="26" t="s">
        <v>78</v>
      </c>
      <c r="C8" s="28" t="n">
        <v>0.22</v>
      </c>
      <c r="D8" s="26" t="s">
        <v>79</v>
      </c>
      <c r="E8" s="26" t="s">
        <v>76</v>
      </c>
      <c r="F8" s="26" t="s">
        <v>80</v>
      </c>
    </row>
    <row r="9" customFormat="false" ht="15" hidden="false" customHeight="true" outlineLevel="0" collapsed="false">
      <c r="B9" s="26" t="s">
        <v>81</v>
      </c>
      <c r="C9" s="27" t="n">
        <v>25</v>
      </c>
      <c r="D9" s="26" t="s">
        <v>82</v>
      </c>
      <c r="E9" s="26" t="s">
        <v>83</v>
      </c>
      <c r="F9" s="26" t="s">
        <v>84</v>
      </c>
    </row>
    <row r="10" customFormat="false" ht="15" hidden="false" customHeight="true" outlineLevel="0" collapsed="false">
      <c r="B10" s="26" t="s">
        <v>85</v>
      </c>
      <c r="C10" s="27" t="n">
        <v>6</v>
      </c>
      <c r="D10" s="26" t="s">
        <v>86</v>
      </c>
      <c r="E10" s="26" t="s">
        <v>87</v>
      </c>
      <c r="F10" s="26" t="s">
        <v>88</v>
      </c>
    </row>
    <row r="11" customFormat="false" ht="15" hidden="false" customHeight="true" outlineLevel="0" collapsed="false">
      <c r="B11" s="26" t="s">
        <v>89</v>
      </c>
      <c r="C11" s="27" t="n">
        <v>15</v>
      </c>
      <c r="D11" s="26" t="s">
        <v>90</v>
      </c>
      <c r="E11" s="26" t="s">
        <v>91</v>
      </c>
      <c r="F11" s="26" t="s">
        <v>92</v>
      </c>
    </row>
    <row r="12" customFormat="false" ht="15" hidden="false" customHeight="true" outlineLevel="0" collapsed="false">
      <c r="B12" s="26" t="s">
        <v>93</v>
      </c>
      <c r="C12" s="28" t="n">
        <v>0.8</v>
      </c>
      <c r="D12" s="26" t="s">
        <v>94</v>
      </c>
      <c r="E12" s="26" t="s">
        <v>95</v>
      </c>
      <c r="F12" s="26" t="s">
        <v>96</v>
      </c>
    </row>
    <row r="13" customFormat="false" ht="15" hidden="false" customHeight="true" outlineLevel="0" collapsed="false">
      <c r="B13" s="26" t="s">
        <v>97</v>
      </c>
      <c r="C13" s="28" t="n">
        <v>0.95</v>
      </c>
      <c r="D13" s="26" t="s">
        <v>98</v>
      </c>
      <c r="E13" s="26" t="s">
        <v>95</v>
      </c>
      <c r="F13" s="26" t="s">
        <v>99</v>
      </c>
    </row>
    <row r="14" customFormat="false" ht="15" hidden="false" customHeight="true" outlineLevel="0" collapsed="false">
      <c r="B14" s="26" t="s">
        <v>100</v>
      </c>
      <c r="C14" s="28" t="n">
        <v>0.3</v>
      </c>
      <c r="D14" s="26" t="s">
        <v>101</v>
      </c>
      <c r="E14" s="26" t="s">
        <v>102</v>
      </c>
      <c r="F14" s="26" t="s">
        <v>103</v>
      </c>
    </row>
    <row r="15" customFormat="false" ht="15" hidden="false" customHeight="true" outlineLevel="0" collapsed="false">
      <c r="B15" s="26" t="s">
        <v>104</v>
      </c>
      <c r="C15" s="28" t="n">
        <v>0.55</v>
      </c>
      <c r="D15" s="26" t="s">
        <v>105</v>
      </c>
      <c r="E15" s="26" t="s">
        <v>102</v>
      </c>
      <c r="F15" s="26" t="s">
        <v>106</v>
      </c>
    </row>
    <row r="16" customFormat="false" ht="15" hidden="false" customHeight="true" outlineLevel="0" collapsed="false">
      <c r="B16" s="26" t="s">
        <v>107</v>
      </c>
      <c r="C16" s="27" t="n">
        <v>1</v>
      </c>
      <c r="D16" s="26" t="s">
        <v>108</v>
      </c>
      <c r="E16" s="26" t="s">
        <v>109</v>
      </c>
      <c r="F16" s="26" t="s">
        <v>110</v>
      </c>
    </row>
    <row r="17" customFormat="false" ht="15" hidden="false" customHeight="true" outlineLevel="0" collapsed="false">
      <c r="B17" s="26" t="s">
        <v>111</v>
      </c>
      <c r="C17" s="27" t="n">
        <v>3</v>
      </c>
      <c r="D17" s="26" t="s">
        <v>112</v>
      </c>
      <c r="E17" s="26" t="s">
        <v>109</v>
      </c>
      <c r="F17" s="26" t="s">
        <v>113</v>
      </c>
    </row>
    <row r="18" customFormat="false" ht="15" hidden="false" customHeight="true" outlineLevel="0" collapsed="false">
      <c r="B18" s="26" t="s">
        <v>114</v>
      </c>
      <c r="C18" s="27" t="n">
        <v>52</v>
      </c>
      <c r="D18" s="26" t="s">
        <v>115</v>
      </c>
      <c r="E18" s="26" t="s">
        <v>116</v>
      </c>
      <c r="F18" s="26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4" min="4" style="1" width="34"/>
    <col collapsed="false" customWidth="true" hidden="false" outlineLevel="0" max="5" min="5" style="1" width="55"/>
  </cols>
  <sheetData>
    <row r="2" customFormat="false" ht="17.25" hidden="false" customHeight="true" outlineLevel="0" collapsed="false">
      <c r="B2" s="21" t="s">
        <v>118</v>
      </c>
    </row>
    <row r="3" customFormat="false" ht="15" hidden="false" customHeight="true" outlineLevel="0" collapsed="false">
      <c r="B3" s="3" t="s">
        <v>119</v>
      </c>
    </row>
    <row r="5" customFormat="false" ht="25.5" hidden="false" customHeight="true" outlineLevel="0" collapsed="false">
      <c r="B5" s="25" t="s">
        <v>120</v>
      </c>
      <c r="C5" s="25" t="s">
        <v>121</v>
      </c>
      <c r="D5" s="25" t="s">
        <v>122</v>
      </c>
      <c r="E5" s="25" t="s">
        <v>123</v>
      </c>
    </row>
    <row r="6" customFormat="false" ht="30" hidden="false" customHeight="true" outlineLevel="0" collapsed="false">
      <c r="B6" s="29" t="s">
        <v>124</v>
      </c>
      <c r="C6" s="29" t="s">
        <v>125</v>
      </c>
      <c r="D6" s="29" t="s">
        <v>126</v>
      </c>
      <c r="E6" s="29" t="s">
        <v>127</v>
      </c>
    </row>
    <row r="7" customFormat="false" ht="30" hidden="false" customHeight="true" outlineLevel="0" collapsed="false">
      <c r="B7" s="29" t="s">
        <v>128</v>
      </c>
      <c r="C7" s="29" t="s">
        <v>129</v>
      </c>
      <c r="D7" s="29" t="s">
        <v>130</v>
      </c>
      <c r="E7" s="29" t="s">
        <v>131</v>
      </c>
    </row>
    <row r="8" customFormat="false" ht="30" hidden="false" customHeight="true" outlineLevel="0" collapsed="false">
      <c r="B8" s="29" t="s">
        <v>132</v>
      </c>
      <c r="C8" s="29" t="s">
        <v>133</v>
      </c>
      <c r="D8" s="29" t="s">
        <v>134</v>
      </c>
      <c r="E8" s="29" t="s">
        <v>135</v>
      </c>
    </row>
    <row r="9" customFormat="false" ht="30" hidden="false" customHeight="true" outlineLevel="0" collapsed="false">
      <c r="B9" s="29" t="s">
        <v>136</v>
      </c>
      <c r="C9" s="29" t="s">
        <v>137</v>
      </c>
      <c r="D9" s="29" t="s">
        <v>138</v>
      </c>
      <c r="E9" s="29" t="s">
        <v>139</v>
      </c>
    </row>
    <row r="10" customFormat="false" ht="30" hidden="false" customHeight="true" outlineLevel="0" collapsed="false">
      <c r="B10" s="29" t="s">
        <v>140</v>
      </c>
      <c r="C10" s="29" t="s">
        <v>141</v>
      </c>
      <c r="D10" s="29" t="s">
        <v>142</v>
      </c>
      <c r="E10" s="29" t="s">
        <v>143</v>
      </c>
    </row>
    <row r="11" customFormat="false" ht="30" hidden="false" customHeight="true" outlineLevel="0" collapsed="false">
      <c r="B11" s="29" t="s">
        <v>144</v>
      </c>
      <c r="C11" s="29" t="s">
        <v>129</v>
      </c>
      <c r="D11" s="29" t="s">
        <v>145</v>
      </c>
      <c r="E11" s="29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5"/>
    <col collapsed="false" customWidth="true" hidden="false" outlineLevel="0" max="3" min="3" style="1" width="28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16"/>
    <col collapsed="false" customWidth="true" hidden="false" outlineLevel="0" max="10" min="10" style="1" width="11"/>
  </cols>
  <sheetData>
    <row r="1" customFormat="false" ht="27.75" hidden="false" customHeight="true" outlineLevel="0" collapsed="false">
      <c r="A1" s="25" t="s">
        <v>19</v>
      </c>
      <c r="B1" s="25" t="s">
        <v>147</v>
      </c>
      <c r="C1" s="25" t="s">
        <v>21</v>
      </c>
      <c r="D1" s="25" t="s">
        <v>148</v>
      </c>
      <c r="E1" s="25" t="s">
        <v>149</v>
      </c>
      <c r="F1" s="25" t="s">
        <v>150</v>
      </c>
      <c r="G1" s="25" t="s">
        <v>151</v>
      </c>
      <c r="H1" s="25" t="s">
        <v>152</v>
      </c>
      <c r="I1" s="25" t="s">
        <v>23</v>
      </c>
      <c r="J1" s="25" t="s">
        <v>153</v>
      </c>
    </row>
    <row r="2" customFormat="false" ht="15" hidden="false" customHeight="true" outlineLevel="0" collapsed="false">
      <c r="A2" s="18" t="s">
        <v>154</v>
      </c>
      <c r="B2" s="18" t="s">
        <v>155</v>
      </c>
      <c r="C2" s="18" t="s">
        <v>156</v>
      </c>
      <c r="D2" s="18" t="s">
        <v>157</v>
      </c>
      <c r="E2" s="30" t="n">
        <v>3.82</v>
      </c>
      <c r="F2" s="30" t="n">
        <v>6.94</v>
      </c>
      <c r="G2" s="18" t="s">
        <v>158</v>
      </c>
      <c r="H2" s="18" t="s">
        <v>158</v>
      </c>
      <c r="I2" s="18" t="n">
        <v>65</v>
      </c>
      <c r="J2" s="18" t="s">
        <v>159</v>
      </c>
    </row>
    <row r="3" customFormat="false" ht="15" hidden="false" customHeight="true" outlineLevel="0" collapsed="false">
      <c r="A3" s="18" t="s">
        <v>160</v>
      </c>
      <c r="B3" s="18" t="s">
        <v>161</v>
      </c>
      <c r="C3" s="18" t="s">
        <v>156</v>
      </c>
      <c r="D3" s="18" t="s">
        <v>157</v>
      </c>
      <c r="E3" s="30" t="n">
        <v>3.86</v>
      </c>
      <c r="F3" s="30" t="n">
        <v>6.59</v>
      </c>
      <c r="G3" s="18" t="s">
        <v>162</v>
      </c>
      <c r="H3" s="18" t="s">
        <v>162</v>
      </c>
      <c r="I3" s="18" t="n">
        <v>43</v>
      </c>
      <c r="J3" s="18" t="s">
        <v>163</v>
      </c>
    </row>
    <row r="4" customFormat="false" ht="15" hidden="false" customHeight="true" outlineLevel="0" collapsed="false">
      <c r="A4" s="18" t="s">
        <v>164</v>
      </c>
      <c r="B4" s="18" t="s">
        <v>165</v>
      </c>
      <c r="C4" s="18" t="s">
        <v>156</v>
      </c>
      <c r="D4" s="18" t="s">
        <v>157</v>
      </c>
      <c r="E4" s="30" t="n">
        <v>2.83</v>
      </c>
      <c r="F4" s="30" t="n">
        <v>4.93</v>
      </c>
      <c r="G4" s="18" t="s">
        <v>166</v>
      </c>
      <c r="H4" s="18" t="s">
        <v>162</v>
      </c>
      <c r="I4" s="18" t="n">
        <v>60</v>
      </c>
      <c r="J4" s="18" t="s">
        <v>163</v>
      </c>
    </row>
    <row r="5" customFormat="false" ht="15" hidden="false" customHeight="true" outlineLevel="0" collapsed="false">
      <c r="A5" s="18" t="s">
        <v>167</v>
      </c>
      <c r="B5" s="18" t="s">
        <v>168</v>
      </c>
      <c r="C5" s="18" t="s">
        <v>156</v>
      </c>
      <c r="D5" s="18" t="s">
        <v>157</v>
      </c>
      <c r="E5" s="30" t="n">
        <v>2.56</v>
      </c>
      <c r="F5" s="30" t="n">
        <v>5.13</v>
      </c>
      <c r="G5" s="18" t="s">
        <v>169</v>
      </c>
      <c r="H5" s="18" t="s">
        <v>170</v>
      </c>
      <c r="I5" s="18" t="n">
        <v>52</v>
      </c>
      <c r="J5" s="18" t="s">
        <v>159</v>
      </c>
    </row>
    <row r="6" customFormat="false" ht="15" hidden="false" customHeight="true" outlineLevel="0" collapsed="false">
      <c r="A6" s="18" t="s">
        <v>171</v>
      </c>
      <c r="B6" s="18" t="s">
        <v>172</v>
      </c>
      <c r="C6" s="18" t="s">
        <v>156</v>
      </c>
      <c r="D6" s="18" t="s">
        <v>157</v>
      </c>
      <c r="E6" s="30" t="n">
        <v>3.55</v>
      </c>
      <c r="F6" s="30" t="n">
        <v>6.83</v>
      </c>
      <c r="G6" s="18" t="s">
        <v>162</v>
      </c>
      <c r="H6" s="18" t="s">
        <v>162</v>
      </c>
      <c r="I6" s="18" t="n">
        <v>49</v>
      </c>
      <c r="J6" s="18" t="s">
        <v>159</v>
      </c>
    </row>
    <row r="7" customFormat="false" ht="15" hidden="false" customHeight="true" outlineLevel="0" collapsed="false">
      <c r="A7" s="18" t="s">
        <v>173</v>
      </c>
      <c r="B7" s="18" t="s">
        <v>174</v>
      </c>
      <c r="C7" s="18" t="s">
        <v>175</v>
      </c>
      <c r="D7" s="18" t="s">
        <v>176</v>
      </c>
      <c r="E7" s="30" t="n">
        <v>3.02</v>
      </c>
      <c r="F7" s="30" t="n">
        <v>4.89</v>
      </c>
      <c r="G7" s="18" t="s">
        <v>177</v>
      </c>
      <c r="H7" s="18" t="s">
        <v>158</v>
      </c>
      <c r="I7" s="18" t="n">
        <v>95</v>
      </c>
      <c r="J7" s="18" t="s">
        <v>159</v>
      </c>
    </row>
    <row r="8" customFormat="false" ht="15" hidden="false" customHeight="true" outlineLevel="0" collapsed="false">
      <c r="A8" s="18" t="s">
        <v>178</v>
      </c>
      <c r="B8" s="18" t="s">
        <v>179</v>
      </c>
      <c r="C8" s="18" t="s">
        <v>175</v>
      </c>
      <c r="D8" s="18" t="s">
        <v>176</v>
      </c>
      <c r="E8" s="30" t="n">
        <v>3.9</v>
      </c>
      <c r="F8" s="30" t="n">
        <v>6.75</v>
      </c>
      <c r="G8" s="18" t="s">
        <v>166</v>
      </c>
      <c r="H8" s="18" t="s">
        <v>162</v>
      </c>
      <c r="I8" s="18" t="n">
        <v>126</v>
      </c>
      <c r="J8" s="18" t="s">
        <v>180</v>
      </c>
    </row>
    <row r="9" customFormat="false" ht="15" hidden="false" customHeight="true" outlineLevel="0" collapsed="false">
      <c r="A9" s="18" t="s">
        <v>181</v>
      </c>
      <c r="B9" s="18" t="s">
        <v>182</v>
      </c>
      <c r="C9" s="18" t="s">
        <v>175</v>
      </c>
      <c r="D9" s="18" t="s">
        <v>176</v>
      </c>
      <c r="E9" s="30" t="n">
        <v>3.36</v>
      </c>
      <c r="F9" s="30" t="n">
        <v>4.96</v>
      </c>
      <c r="G9" s="18" t="s">
        <v>177</v>
      </c>
      <c r="H9" s="18" t="s">
        <v>158</v>
      </c>
      <c r="I9" s="18" t="n">
        <v>128</v>
      </c>
      <c r="J9" s="18" t="s">
        <v>180</v>
      </c>
    </row>
    <row r="10" customFormat="false" ht="15" hidden="false" customHeight="true" outlineLevel="0" collapsed="false">
      <c r="A10" s="18" t="s">
        <v>183</v>
      </c>
      <c r="B10" s="18" t="s">
        <v>184</v>
      </c>
      <c r="C10" s="18" t="s">
        <v>175</v>
      </c>
      <c r="D10" s="18" t="s">
        <v>176</v>
      </c>
      <c r="E10" s="30" t="n">
        <v>5.13</v>
      </c>
      <c r="F10" s="30" t="n">
        <v>7.78</v>
      </c>
      <c r="G10" s="18" t="s">
        <v>177</v>
      </c>
      <c r="H10" s="18" t="s">
        <v>158</v>
      </c>
      <c r="I10" s="18" t="n">
        <v>164</v>
      </c>
      <c r="J10" s="18" t="s">
        <v>159</v>
      </c>
    </row>
    <row r="11" customFormat="false" ht="15" hidden="false" customHeight="true" outlineLevel="0" collapsed="false">
      <c r="A11" s="18" t="s">
        <v>185</v>
      </c>
      <c r="B11" s="18" t="s">
        <v>186</v>
      </c>
      <c r="C11" s="18" t="s">
        <v>175</v>
      </c>
      <c r="D11" s="18" t="s">
        <v>176</v>
      </c>
      <c r="E11" s="30" t="n">
        <v>5.45</v>
      </c>
      <c r="F11" s="30" t="n">
        <v>8.96</v>
      </c>
      <c r="G11" s="18" t="s">
        <v>187</v>
      </c>
      <c r="H11" s="18" t="s">
        <v>162</v>
      </c>
      <c r="I11" s="18" t="n">
        <v>141</v>
      </c>
      <c r="J11" s="18" t="s">
        <v>159</v>
      </c>
    </row>
    <row r="12" customFormat="false" ht="15" hidden="false" customHeight="true" outlineLevel="0" collapsed="false">
      <c r="A12" s="18" t="s">
        <v>188</v>
      </c>
      <c r="B12" s="18" t="s">
        <v>189</v>
      </c>
      <c r="C12" s="18" t="s">
        <v>190</v>
      </c>
      <c r="D12" s="18" t="s">
        <v>191</v>
      </c>
      <c r="E12" s="30" t="n">
        <v>13.08</v>
      </c>
      <c r="F12" s="30" t="n">
        <v>27.85</v>
      </c>
      <c r="G12" s="18" t="s">
        <v>166</v>
      </c>
      <c r="H12" s="18" t="s">
        <v>162</v>
      </c>
      <c r="I12" s="18" t="n">
        <v>32</v>
      </c>
      <c r="J12" s="18" t="s">
        <v>180</v>
      </c>
    </row>
    <row r="13" customFormat="false" ht="15" hidden="false" customHeight="true" outlineLevel="0" collapsed="false">
      <c r="A13" s="18" t="s">
        <v>192</v>
      </c>
      <c r="B13" s="18" t="s">
        <v>193</v>
      </c>
      <c r="C13" s="18" t="s">
        <v>190</v>
      </c>
      <c r="D13" s="18" t="s">
        <v>191</v>
      </c>
      <c r="E13" s="30" t="n">
        <v>15.22</v>
      </c>
      <c r="F13" s="30" t="n">
        <v>32.01</v>
      </c>
      <c r="G13" s="18" t="s">
        <v>194</v>
      </c>
      <c r="H13" s="18" t="s">
        <v>162</v>
      </c>
      <c r="I13" s="18" t="n">
        <v>52</v>
      </c>
      <c r="J13" s="18" t="s">
        <v>163</v>
      </c>
    </row>
    <row r="14" customFormat="false" ht="15" hidden="false" customHeight="true" outlineLevel="0" collapsed="false">
      <c r="A14" s="18" t="s">
        <v>195</v>
      </c>
      <c r="B14" s="18" t="s">
        <v>196</v>
      </c>
      <c r="C14" s="18" t="s">
        <v>190</v>
      </c>
      <c r="D14" s="18" t="s">
        <v>191</v>
      </c>
      <c r="E14" s="30" t="n">
        <v>17.6</v>
      </c>
      <c r="F14" s="30" t="n">
        <v>34.86</v>
      </c>
      <c r="G14" s="18" t="s">
        <v>162</v>
      </c>
      <c r="H14" s="18" t="s">
        <v>162</v>
      </c>
      <c r="I14" s="18" t="n">
        <v>39</v>
      </c>
      <c r="J14" s="18" t="s">
        <v>159</v>
      </c>
    </row>
    <row r="15" customFormat="false" ht="15" hidden="false" customHeight="true" outlineLevel="0" collapsed="false">
      <c r="A15" s="18" t="s">
        <v>197</v>
      </c>
      <c r="B15" s="18" t="s">
        <v>198</v>
      </c>
      <c r="C15" s="18" t="s">
        <v>190</v>
      </c>
      <c r="D15" s="18" t="s">
        <v>191</v>
      </c>
      <c r="E15" s="30" t="n">
        <v>12.69</v>
      </c>
      <c r="F15" s="30" t="n">
        <v>24.36</v>
      </c>
      <c r="G15" s="18" t="s">
        <v>187</v>
      </c>
      <c r="H15" s="18" t="s">
        <v>162</v>
      </c>
      <c r="I15" s="18" t="n">
        <v>44</v>
      </c>
      <c r="J15" s="18" t="s">
        <v>180</v>
      </c>
    </row>
    <row r="16" customFormat="false" ht="15" hidden="false" customHeight="true" outlineLevel="0" collapsed="false">
      <c r="A16" s="18" t="s">
        <v>199</v>
      </c>
      <c r="B16" s="18" t="s">
        <v>200</v>
      </c>
      <c r="C16" s="18" t="s">
        <v>190</v>
      </c>
      <c r="D16" s="18" t="s">
        <v>191</v>
      </c>
      <c r="E16" s="30" t="n">
        <v>20.28</v>
      </c>
      <c r="F16" s="30" t="n">
        <v>42</v>
      </c>
      <c r="G16" s="18" t="s">
        <v>201</v>
      </c>
      <c r="H16" s="18" t="s">
        <v>201</v>
      </c>
      <c r="I16" s="18" t="n">
        <v>40</v>
      </c>
      <c r="J16" s="18" t="s">
        <v>180</v>
      </c>
    </row>
    <row r="17" customFormat="false" ht="15" hidden="false" customHeight="true" outlineLevel="0" collapsed="false">
      <c r="A17" s="18" t="s">
        <v>202</v>
      </c>
      <c r="B17" s="18" t="s">
        <v>203</v>
      </c>
      <c r="C17" s="18" t="s">
        <v>204</v>
      </c>
      <c r="D17" s="18" t="s">
        <v>205</v>
      </c>
      <c r="E17" s="30" t="n">
        <v>5.56</v>
      </c>
      <c r="F17" s="30" t="n">
        <v>11.32</v>
      </c>
      <c r="G17" s="18" t="s">
        <v>187</v>
      </c>
      <c r="H17" s="18" t="s">
        <v>162</v>
      </c>
      <c r="I17" s="18" t="n">
        <v>27</v>
      </c>
      <c r="J17" s="18" t="s">
        <v>180</v>
      </c>
    </row>
    <row r="18" customFormat="false" ht="15" hidden="false" customHeight="true" outlineLevel="0" collapsed="false">
      <c r="A18" s="18" t="s">
        <v>206</v>
      </c>
      <c r="B18" s="18" t="s">
        <v>207</v>
      </c>
      <c r="C18" s="18" t="s">
        <v>204</v>
      </c>
      <c r="D18" s="18" t="s">
        <v>205</v>
      </c>
      <c r="E18" s="30" t="n">
        <v>4.87</v>
      </c>
      <c r="F18" s="30" t="n">
        <v>11.47</v>
      </c>
      <c r="G18" s="18" t="s">
        <v>158</v>
      </c>
      <c r="H18" s="18" t="s">
        <v>158</v>
      </c>
      <c r="I18" s="18" t="n">
        <v>30</v>
      </c>
      <c r="J18" s="18" t="s">
        <v>180</v>
      </c>
    </row>
    <row r="19" customFormat="false" ht="15" hidden="false" customHeight="true" outlineLevel="0" collapsed="false">
      <c r="A19" s="18" t="s">
        <v>208</v>
      </c>
      <c r="B19" s="18" t="s">
        <v>209</v>
      </c>
      <c r="C19" s="18" t="s">
        <v>204</v>
      </c>
      <c r="D19" s="18" t="s">
        <v>205</v>
      </c>
      <c r="E19" s="30" t="n">
        <v>8.28</v>
      </c>
      <c r="F19" s="30" t="n">
        <v>16.81</v>
      </c>
      <c r="G19" s="18" t="s">
        <v>187</v>
      </c>
      <c r="H19" s="18" t="s">
        <v>162</v>
      </c>
      <c r="I19" s="18" t="n">
        <v>31</v>
      </c>
      <c r="J19" s="18" t="s">
        <v>159</v>
      </c>
    </row>
    <row r="20" customFormat="false" ht="15" hidden="false" customHeight="true" outlineLevel="0" collapsed="false">
      <c r="A20" s="18" t="s">
        <v>210</v>
      </c>
      <c r="B20" s="18" t="s">
        <v>211</v>
      </c>
      <c r="C20" s="18" t="s">
        <v>204</v>
      </c>
      <c r="D20" s="18" t="s">
        <v>205</v>
      </c>
      <c r="E20" s="30" t="n">
        <v>4.34</v>
      </c>
      <c r="F20" s="30" t="n">
        <v>9.73</v>
      </c>
      <c r="G20" s="18" t="s">
        <v>212</v>
      </c>
      <c r="H20" s="18" t="s">
        <v>201</v>
      </c>
      <c r="I20" s="18" t="n">
        <v>25</v>
      </c>
      <c r="J20" s="18" t="s">
        <v>159</v>
      </c>
    </row>
    <row r="21" customFormat="false" ht="15" hidden="false" customHeight="true" outlineLevel="0" collapsed="false">
      <c r="A21" s="18" t="s">
        <v>213</v>
      </c>
      <c r="B21" s="18" t="s">
        <v>214</v>
      </c>
      <c r="C21" s="18" t="s">
        <v>204</v>
      </c>
      <c r="D21" s="18" t="s">
        <v>205</v>
      </c>
      <c r="E21" s="30" t="n">
        <v>3.76</v>
      </c>
      <c r="F21" s="30" t="n">
        <v>9.01</v>
      </c>
      <c r="G21" s="18" t="s">
        <v>170</v>
      </c>
      <c r="H21" s="18" t="s">
        <v>170</v>
      </c>
      <c r="I21" s="18" t="n">
        <v>22</v>
      </c>
      <c r="J21" s="18" t="s">
        <v>159</v>
      </c>
    </row>
    <row r="22" customFormat="false" ht="15" hidden="false" customHeight="true" outlineLevel="0" collapsed="false">
      <c r="A22" s="18" t="s">
        <v>215</v>
      </c>
      <c r="B22" s="18" t="s">
        <v>216</v>
      </c>
      <c r="C22" s="18" t="s">
        <v>217</v>
      </c>
      <c r="D22" s="18" t="s">
        <v>218</v>
      </c>
      <c r="E22" s="30" t="n">
        <v>2.59</v>
      </c>
      <c r="F22" s="30" t="n">
        <v>4.55</v>
      </c>
      <c r="G22" s="18" t="s">
        <v>166</v>
      </c>
      <c r="H22" s="18" t="s">
        <v>162</v>
      </c>
      <c r="I22" s="18" t="n">
        <v>16</v>
      </c>
      <c r="J22" s="18" t="s">
        <v>180</v>
      </c>
    </row>
    <row r="23" customFormat="false" ht="15" hidden="false" customHeight="true" outlineLevel="0" collapsed="false">
      <c r="A23" s="18" t="s">
        <v>219</v>
      </c>
      <c r="B23" s="18" t="s">
        <v>220</v>
      </c>
      <c r="C23" s="18" t="s">
        <v>217</v>
      </c>
      <c r="D23" s="18" t="s">
        <v>218</v>
      </c>
      <c r="E23" s="30" t="n">
        <v>0.94</v>
      </c>
      <c r="F23" s="30" t="n">
        <v>1.73</v>
      </c>
      <c r="G23" s="18" t="s">
        <v>194</v>
      </c>
      <c r="H23" s="18" t="s">
        <v>162</v>
      </c>
      <c r="I23" s="18" t="n">
        <v>36</v>
      </c>
      <c r="J23" s="18" t="s">
        <v>159</v>
      </c>
    </row>
    <row r="24" customFormat="false" ht="15" hidden="false" customHeight="true" outlineLevel="0" collapsed="false">
      <c r="A24" s="18" t="s">
        <v>221</v>
      </c>
      <c r="B24" s="18" t="s">
        <v>222</v>
      </c>
      <c r="C24" s="18" t="s">
        <v>217</v>
      </c>
      <c r="D24" s="18" t="s">
        <v>218</v>
      </c>
      <c r="E24" s="30" t="n">
        <v>1.41</v>
      </c>
      <c r="F24" s="30" t="n">
        <v>2.52</v>
      </c>
      <c r="G24" s="18" t="s">
        <v>170</v>
      </c>
      <c r="H24" s="18" t="s">
        <v>170</v>
      </c>
      <c r="I24" s="18" t="n">
        <v>50</v>
      </c>
      <c r="J24" s="18" t="s">
        <v>159</v>
      </c>
    </row>
    <row r="25" customFormat="false" ht="15" hidden="false" customHeight="true" outlineLevel="0" collapsed="false">
      <c r="A25" s="18" t="s">
        <v>223</v>
      </c>
      <c r="B25" s="18" t="s">
        <v>224</v>
      </c>
      <c r="C25" s="18" t="s">
        <v>217</v>
      </c>
      <c r="D25" s="18" t="s">
        <v>218</v>
      </c>
      <c r="E25" s="30" t="n">
        <v>0.97</v>
      </c>
      <c r="F25" s="30" t="n">
        <v>1.7</v>
      </c>
      <c r="G25" s="18" t="s">
        <v>225</v>
      </c>
      <c r="H25" s="18" t="s">
        <v>170</v>
      </c>
      <c r="I25" s="18" t="n">
        <v>53</v>
      </c>
      <c r="J25" s="18" t="s">
        <v>163</v>
      </c>
    </row>
    <row r="26" customFormat="false" ht="15" hidden="false" customHeight="true" outlineLevel="0" collapsed="false">
      <c r="A26" s="18" t="s">
        <v>226</v>
      </c>
      <c r="B26" s="18" t="s">
        <v>227</v>
      </c>
      <c r="C26" s="18" t="s">
        <v>217</v>
      </c>
      <c r="D26" s="18" t="s">
        <v>218</v>
      </c>
      <c r="E26" s="30" t="n">
        <v>1.42</v>
      </c>
      <c r="F26" s="30" t="n">
        <v>2.47</v>
      </c>
      <c r="G26" s="18" t="s">
        <v>201</v>
      </c>
      <c r="H26" s="18" t="s">
        <v>201</v>
      </c>
      <c r="I26" s="18" t="n">
        <v>34</v>
      </c>
      <c r="J26" s="18" t="s">
        <v>159</v>
      </c>
    </row>
    <row r="27" customFormat="false" ht="15" hidden="false" customHeight="true" outlineLevel="0" collapsed="false">
      <c r="A27" s="18" t="s">
        <v>228</v>
      </c>
      <c r="B27" s="18" t="s">
        <v>229</v>
      </c>
      <c r="C27" s="18" t="s">
        <v>230</v>
      </c>
      <c r="D27" s="18" t="s">
        <v>231</v>
      </c>
      <c r="E27" s="30" t="n">
        <v>14.33</v>
      </c>
      <c r="F27" s="30" t="n">
        <v>29.1</v>
      </c>
      <c r="G27" s="18" t="s">
        <v>170</v>
      </c>
      <c r="H27" s="18" t="s">
        <v>170</v>
      </c>
      <c r="I27" s="18" t="n">
        <v>55</v>
      </c>
      <c r="J27" s="18" t="s">
        <v>163</v>
      </c>
    </row>
    <row r="28" customFormat="false" ht="15" hidden="false" customHeight="true" outlineLevel="0" collapsed="false">
      <c r="A28" s="18" t="s">
        <v>232</v>
      </c>
      <c r="B28" s="18" t="s">
        <v>233</v>
      </c>
      <c r="C28" s="18" t="s">
        <v>230</v>
      </c>
      <c r="D28" s="18" t="s">
        <v>231</v>
      </c>
      <c r="E28" s="30" t="n">
        <v>12.21</v>
      </c>
      <c r="F28" s="30" t="n">
        <v>23.79</v>
      </c>
      <c r="G28" s="18" t="s">
        <v>187</v>
      </c>
      <c r="H28" s="18" t="s">
        <v>162</v>
      </c>
      <c r="I28" s="18" t="n">
        <v>51</v>
      </c>
      <c r="J28" s="18" t="s">
        <v>180</v>
      </c>
    </row>
    <row r="29" customFormat="false" ht="15" hidden="false" customHeight="true" outlineLevel="0" collapsed="false">
      <c r="A29" s="18" t="s">
        <v>234</v>
      </c>
      <c r="B29" s="18" t="s">
        <v>235</v>
      </c>
      <c r="C29" s="18" t="s">
        <v>230</v>
      </c>
      <c r="D29" s="18" t="s">
        <v>231</v>
      </c>
      <c r="E29" s="30" t="n">
        <v>7.11</v>
      </c>
      <c r="F29" s="30" t="n">
        <v>12.47</v>
      </c>
      <c r="G29" s="18" t="s">
        <v>187</v>
      </c>
      <c r="H29" s="18" t="s">
        <v>162</v>
      </c>
      <c r="I29" s="18" t="n">
        <v>57</v>
      </c>
      <c r="J29" s="18" t="s">
        <v>159</v>
      </c>
    </row>
    <row r="30" customFormat="false" ht="15" hidden="false" customHeight="true" outlineLevel="0" collapsed="false">
      <c r="A30" s="18" t="s">
        <v>236</v>
      </c>
      <c r="B30" s="18" t="s">
        <v>237</v>
      </c>
      <c r="C30" s="18" t="s">
        <v>230</v>
      </c>
      <c r="D30" s="18" t="s">
        <v>231</v>
      </c>
      <c r="E30" s="30" t="n">
        <v>6.69</v>
      </c>
      <c r="F30" s="30" t="n">
        <v>12.19</v>
      </c>
      <c r="G30" s="18" t="s">
        <v>238</v>
      </c>
      <c r="H30" s="18" t="s">
        <v>201</v>
      </c>
      <c r="I30" s="18" t="n">
        <v>46</v>
      </c>
      <c r="J30" s="18" t="s">
        <v>159</v>
      </c>
    </row>
    <row r="31" customFormat="false" ht="15" hidden="false" customHeight="true" outlineLevel="0" collapsed="false">
      <c r="A31" s="18" t="s">
        <v>239</v>
      </c>
      <c r="B31" s="18" t="s">
        <v>240</v>
      </c>
      <c r="C31" s="18" t="s">
        <v>230</v>
      </c>
      <c r="D31" s="18" t="s">
        <v>231</v>
      </c>
      <c r="E31" s="30" t="n">
        <v>6.07</v>
      </c>
      <c r="F31" s="30" t="n">
        <v>11.86</v>
      </c>
      <c r="G31" s="18" t="s">
        <v>162</v>
      </c>
      <c r="H31" s="18" t="s">
        <v>162</v>
      </c>
      <c r="I31" s="18" t="n">
        <v>19</v>
      </c>
      <c r="J31" s="18" t="s">
        <v>180</v>
      </c>
    </row>
    <row r="32" customFormat="false" ht="15" hidden="false" customHeight="true" outlineLevel="0" collapsed="false">
      <c r="A32" s="18" t="s">
        <v>241</v>
      </c>
      <c r="B32" s="18" t="s">
        <v>242</v>
      </c>
      <c r="C32" s="18" t="s">
        <v>243</v>
      </c>
      <c r="D32" s="18" t="s">
        <v>244</v>
      </c>
      <c r="E32" s="30" t="n">
        <v>31.3</v>
      </c>
      <c r="F32" s="30" t="n">
        <v>46.19</v>
      </c>
      <c r="G32" s="18" t="s">
        <v>187</v>
      </c>
      <c r="H32" s="18" t="s">
        <v>162</v>
      </c>
      <c r="I32" s="18" t="n">
        <v>40</v>
      </c>
      <c r="J32" s="18" t="s">
        <v>159</v>
      </c>
    </row>
    <row r="33" customFormat="false" ht="15" hidden="false" customHeight="true" outlineLevel="0" collapsed="false">
      <c r="A33" s="18" t="s">
        <v>245</v>
      </c>
      <c r="B33" s="18" t="s">
        <v>246</v>
      </c>
      <c r="C33" s="18" t="s">
        <v>243</v>
      </c>
      <c r="D33" s="18" t="s">
        <v>244</v>
      </c>
      <c r="E33" s="30" t="n">
        <v>19.22</v>
      </c>
      <c r="F33" s="30" t="n">
        <v>27.19</v>
      </c>
      <c r="G33" s="18" t="s">
        <v>212</v>
      </c>
      <c r="H33" s="18" t="s">
        <v>201</v>
      </c>
      <c r="I33" s="18" t="n">
        <v>68</v>
      </c>
      <c r="J33" s="18" t="s">
        <v>163</v>
      </c>
    </row>
    <row r="34" customFormat="false" ht="15" hidden="false" customHeight="true" outlineLevel="0" collapsed="false">
      <c r="A34" s="18" t="s">
        <v>247</v>
      </c>
      <c r="B34" s="18" t="s">
        <v>248</v>
      </c>
      <c r="C34" s="18" t="s">
        <v>243</v>
      </c>
      <c r="D34" s="18" t="s">
        <v>244</v>
      </c>
      <c r="E34" s="30" t="n">
        <v>25.32</v>
      </c>
      <c r="F34" s="30" t="n">
        <v>36.81</v>
      </c>
      <c r="G34" s="18" t="s">
        <v>187</v>
      </c>
      <c r="H34" s="18" t="s">
        <v>162</v>
      </c>
      <c r="I34" s="18" t="n">
        <v>43</v>
      </c>
      <c r="J34" s="18" t="s">
        <v>159</v>
      </c>
    </row>
    <row r="35" customFormat="false" ht="15" hidden="false" customHeight="true" outlineLevel="0" collapsed="false">
      <c r="A35" s="18" t="s">
        <v>249</v>
      </c>
      <c r="B35" s="18" t="s">
        <v>250</v>
      </c>
      <c r="C35" s="18" t="s">
        <v>243</v>
      </c>
      <c r="D35" s="18" t="s">
        <v>244</v>
      </c>
      <c r="E35" s="30" t="n">
        <v>34.39</v>
      </c>
      <c r="F35" s="30" t="n">
        <v>51.57</v>
      </c>
      <c r="G35" s="18" t="s">
        <v>169</v>
      </c>
      <c r="H35" s="18" t="s">
        <v>170</v>
      </c>
      <c r="I35" s="18" t="n">
        <v>38</v>
      </c>
      <c r="J35" s="18" t="s">
        <v>159</v>
      </c>
    </row>
    <row r="36" customFormat="false" ht="15" hidden="false" customHeight="true" outlineLevel="0" collapsed="false">
      <c r="A36" s="18" t="s">
        <v>251</v>
      </c>
      <c r="B36" s="18" t="s">
        <v>252</v>
      </c>
      <c r="C36" s="18" t="s">
        <v>243</v>
      </c>
      <c r="D36" s="18" t="s">
        <v>244</v>
      </c>
      <c r="E36" s="30" t="n">
        <v>31.12</v>
      </c>
      <c r="F36" s="30" t="n">
        <v>41.87</v>
      </c>
      <c r="G36" s="18" t="s">
        <v>253</v>
      </c>
      <c r="H36" s="18" t="s">
        <v>158</v>
      </c>
      <c r="I36" s="18" t="n">
        <v>57</v>
      </c>
      <c r="J36" s="18" t="s">
        <v>163</v>
      </c>
    </row>
    <row r="37" customFormat="false" ht="15" hidden="false" customHeight="true" outlineLevel="0" collapsed="false">
      <c r="A37" s="18" t="s">
        <v>254</v>
      </c>
      <c r="B37" s="18" t="s">
        <v>255</v>
      </c>
      <c r="C37" s="18" t="s">
        <v>256</v>
      </c>
      <c r="D37" s="18" t="s">
        <v>257</v>
      </c>
      <c r="E37" s="30" t="n">
        <v>0.84</v>
      </c>
      <c r="F37" s="30" t="n">
        <v>1.91</v>
      </c>
      <c r="G37" s="18" t="s">
        <v>170</v>
      </c>
      <c r="H37" s="18" t="s">
        <v>170</v>
      </c>
      <c r="I37" s="18" t="n">
        <v>19</v>
      </c>
      <c r="J37" s="18" t="s">
        <v>159</v>
      </c>
    </row>
    <row r="38" customFormat="false" ht="15" hidden="false" customHeight="true" outlineLevel="0" collapsed="false">
      <c r="A38" s="18" t="s">
        <v>258</v>
      </c>
      <c r="B38" s="18" t="s">
        <v>259</v>
      </c>
      <c r="C38" s="18" t="s">
        <v>256</v>
      </c>
      <c r="D38" s="18" t="s">
        <v>257</v>
      </c>
      <c r="E38" s="30" t="n">
        <v>1.2</v>
      </c>
      <c r="F38" s="30" t="n">
        <v>2.94</v>
      </c>
      <c r="G38" s="18" t="s">
        <v>194</v>
      </c>
      <c r="H38" s="18" t="s">
        <v>162</v>
      </c>
      <c r="I38" s="18" t="n">
        <v>34</v>
      </c>
      <c r="J38" s="18" t="s">
        <v>159</v>
      </c>
    </row>
    <row r="39" customFormat="false" ht="15" hidden="false" customHeight="true" outlineLevel="0" collapsed="false">
      <c r="A39" s="18" t="s">
        <v>260</v>
      </c>
      <c r="B39" s="18" t="s">
        <v>261</v>
      </c>
      <c r="C39" s="18" t="s">
        <v>256</v>
      </c>
      <c r="D39" s="18" t="s">
        <v>257</v>
      </c>
      <c r="E39" s="30" t="n">
        <v>0.78</v>
      </c>
      <c r="F39" s="30" t="n">
        <v>1.68</v>
      </c>
      <c r="G39" s="18" t="s">
        <v>162</v>
      </c>
      <c r="H39" s="18" t="s">
        <v>162</v>
      </c>
      <c r="I39" s="18" t="n">
        <v>23</v>
      </c>
      <c r="J39" s="18" t="s">
        <v>180</v>
      </c>
    </row>
    <row r="40" customFormat="false" ht="15" hidden="false" customHeight="true" outlineLevel="0" collapsed="false">
      <c r="A40" s="18" t="s">
        <v>262</v>
      </c>
      <c r="B40" s="18" t="s">
        <v>263</v>
      </c>
      <c r="C40" s="18" t="s">
        <v>256</v>
      </c>
      <c r="D40" s="18" t="s">
        <v>257</v>
      </c>
      <c r="E40" s="30" t="n">
        <v>0.53</v>
      </c>
      <c r="F40" s="30" t="n">
        <v>1.15</v>
      </c>
      <c r="G40" s="18" t="s">
        <v>158</v>
      </c>
      <c r="H40" s="18" t="s">
        <v>158</v>
      </c>
      <c r="I40" s="18" t="n">
        <v>17</v>
      </c>
      <c r="J40" s="18" t="s">
        <v>163</v>
      </c>
    </row>
    <row r="41" customFormat="false" ht="15" hidden="false" customHeight="true" outlineLevel="0" collapsed="false">
      <c r="A41" s="18" t="s">
        <v>264</v>
      </c>
      <c r="B41" s="18" t="s">
        <v>265</v>
      </c>
      <c r="C41" s="18" t="s">
        <v>256</v>
      </c>
      <c r="D41" s="18" t="s">
        <v>257</v>
      </c>
      <c r="E41" s="30" t="n">
        <v>0.96</v>
      </c>
      <c r="F41" s="30" t="n">
        <v>2.38</v>
      </c>
      <c r="G41" s="18" t="s">
        <v>194</v>
      </c>
      <c r="H41" s="18" t="s">
        <v>162</v>
      </c>
      <c r="I41" s="18" t="n">
        <v>16</v>
      </c>
      <c r="J41" s="18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4" min="3" style="1" width="10"/>
    <col collapsed="false" customWidth="true" hidden="false" outlineLevel="0" max="5" min="5" style="1" width="12"/>
  </cols>
  <sheetData>
    <row r="1" customFormat="false" ht="27.75" hidden="false" customHeight="true" outlineLevel="0" collapsed="false">
      <c r="A1" s="25" t="s">
        <v>19</v>
      </c>
      <c r="B1" s="25" t="s">
        <v>266</v>
      </c>
      <c r="C1" s="25" t="s">
        <v>267</v>
      </c>
      <c r="D1" s="25" t="s">
        <v>268</v>
      </c>
      <c r="E1" s="25" t="s">
        <v>269</v>
      </c>
    </row>
    <row r="2" customFormat="false" ht="15" hidden="false" customHeight="true" outlineLevel="0" collapsed="false">
      <c r="A2" s="18" t="s">
        <v>154</v>
      </c>
      <c r="B2" s="18" t="s">
        <v>270</v>
      </c>
      <c r="C2" s="18" t="n">
        <v>142</v>
      </c>
      <c r="D2" s="30" t="n">
        <v>961.93</v>
      </c>
      <c r="E2" s="18" t="n">
        <v>1</v>
      </c>
    </row>
    <row r="3" customFormat="false" ht="15" hidden="false" customHeight="true" outlineLevel="0" collapsed="false">
      <c r="A3" s="18" t="s">
        <v>154</v>
      </c>
      <c r="B3" s="18" t="s">
        <v>271</v>
      </c>
      <c r="C3" s="18" t="n">
        <v>184</v>
      </c>
      <c r="D3" s="30" t="n">
        <v>1242.63</v>
      </c>
      <c r="E3" s="18" t="n">
        <v>2</v>
      </c>
    </row>
    <row r="4" customFormat="false" ht="15" hidden="false" customHeight="true" outlineLevel="0" collapsed="false">
      <c r="A4" s="18" t="s">
        <v>154</v>
      </c>
      <c r="B4" s="18" t="s">
        <v>272</v>
      </c>
      <c r="C4" s="18" t="n">
        <v>159</v>
      </c>
      <c r="D4" s="30" t="n">
        <v>1076.92</v>
      </c>
      <c r="E4" s="18" t="n">
        <v>3</v>
      </c>
    </row>
    <row r="5" customFormat="false" ht="15" hidden="false" customHeight="true" outlineLevel="0" collapsed="false">
      <c r="A5" s="18" t="s">
        <v>154</v>
      </c>
      <c r="B5" s="18" t="s">
        <v>273</v>
      </c>
      <c r="C5" s="18" t="n">
        <v>181</v>
      </c>
      <c r="D5" s="30" t="n">
        <v>1286.49</v>
      </c>
      <c r="E5" s="18" t="n">
        <v>4</v>
      </c>
    </row>
    <row r="6" customFormat="false" ht="15" hidden="false" customHeight="true" outlineLevel="0" collapsed="false">
      <c r="A6" s="18" t="s">
        <v>154</v>
      </c>
      <c r="B6" s="18" t="s">
        <v>274</v>
      </c>
      <c r="C6" s="18" t="n">
        <v>96</v>
      </c>
      <c r="D6" s="30" t="n">
        <v>678.31</v>
      </c>
      <c r="E6" s="18" t="n">
        <v>5</v>
      </c>
    </row>
    <row r="7" customFormat="false" ht="15" hidden="false" customHeight="true" outlineLevel="0" collapsed="false">
      <c r="A7" s="18" t="s">
        <v>154</v>
      </c>
      <c r="B7" s="18" t="s">
        <v>275</v>
      </c>
      <c r="C7" s="18" t="n">
        <v>157</v>
      </c>
      <c r="D7" s="30" t="n">
        <v>1098.89</v>
      </c>
      <c r="E7" s="18" t="n">
        <v>6</v>
      </c>
    </row>
    <row r="8" customFormat="false" ht="15" hidden="false" customHeight="true" outlineLevel="0" collapsed="false">
      <c r="A8" s="18" t="s">
        <v>154</v>
      </c>
      <c r="B8" s="18" t="s">
        <v>276</v>
      </c>
      <c r="C8" s="18" t="n">
        <v>133</v>
      </c>
      <c r="D8" s="30" t="n">
        <v>902.78</v>
      </c>
      <c r="E8" s="18" t="n">
        <v>7</v>
      </c>
    </row>
    <row r="9" customFormat="false" ht="15" hidden="false" customHeight="true" outlineLevel="0" collapsed="false">
      <c r="A9" s="18" t="s">
        <v>154</v>
      </c>
      <c r="B9" s="18" t="s">
        <v>277</v>
      </c>
      <c r="C9" s="18" t="n">
        <v>135</v>
      </c>
      <c r="D9" s="30" t="n">
        <v>937.7</v>
      </c>
      <c r="E9" s="18" t="n">
        <v>8</v>
      </c>
    </row>
    <row r="10" customFormat="false" ht="15" hidden="false" customHeight="true" outlineLevel="0" collapsed="false">
      <c r="A10" s="18" t="s">
        <v>154</v>
      </c>
      <c r="B10" s="18" t="s">
        <v>278</v>
      </c>
      <c r="C10" s="18" t="n">
        <v>208</v>
      </c>
      <c r="D10" s="30" t="n">
        <v>1440.3</v>
      </c>
      <c r="E10" s="18" t="n">
        <v>9</v>
      </c>
    </row>
    <row r="11" customFormat="false" ht="15" hidden="false" customHeight="true" outlineLevel="0" collapsed="false">
      <c r="A11" s="18" t="s">
        <v>154</v>
      </c>
      <c r="B11" s="18" t="s">
        <v>279</v>
      </c>
      <c r="C11" s="18" t="n">
        <v>132</v>
      </c>
      <c r="D11" s="30" t="n">
        <v>923.75</v>
      </c>
      <c r="E11" s="18" t="n">
        <v>10</v>
      </c>
    </row>
    <row r="12" customFormat="false" ht="15" hidden="false" customHeight="true" outlineLevel="0" collapsed="false">
      <c r="A12" s="18" t="s">
        <v>154</v>
      </c>
      <c r="B12" s="18" t="s">
        <v>280</v>
      </c>
      <c r="C12" s="18" t="n">
        <v>152</v>
      </c>
      <c r="D12" s="30" t="n">
        <v>1032.08</v>
      </c>
      <c r="E12" s="18" t="n">
        <v>11</v>
      </c>
    </row>
    <row r="13" customFormat="false" ht="15" hidden="false" customHeight="true" outlineLevel="0" collapsed="false">
      <c r="A13" s="18" t="s">
        <v>154</v>
      </c>
      <c r="B13" s="18" t="s">
        <v>281</v>
      </c>
      <c r="C13" s="18" t="n">
        <v>64</v>
      </c>
      <c r="D13" s="30" t="n">
        <v>441.95</v>
      </c>
      <c r="E13" s="18" t="n">
        <v>12</v>
      </c>
    </row>
    <row r="14" customFormat="false" ht="15" hidden="false" customHeight="true" outlineLevel="0" collapsed="false">
      <c r="A14" s="18" t="s">
        <v>154</v>
      </c>
      <c r="B14" s="18" t="s">
        <v>282</v>
      </c>
      <c r="C14" s="18" t="n">
        <v>200</v>
      </c>
      <c r="D14" s="30" t="n">
        <v>1376.97</v>
      </c>
      <c r="E14" s="18" t="n">
        <v>13</v>
      </c>
    </row>
    <row r="15" customFormat="false" ht="15" hidden="false" customHeight="true" outlineLevel="0" collapsed="false">
      <c r="A15" s="18" t="s">
        <v>154</v>
      </c>
      <c r="B15" s="18" t="s">
        <v>283</v>
      </c>
      <c r="C15" s="18" t="n">
        <v>161</v>
      </c>
      <c r="D15" s="30" t="n">
        <v>1105.78</v>
      </c>
      <c r="E15" s="18" t="n">
        <v>14</v>
      </c>
    </row>
    <row r="16" customFormat="false" ht="15" hidden="false" customHeight="true" outlineLevel="0" collapsed="false">
      <c r="A16" s="18" t="s">
        <v>154</v>
      </c>
      <c r="B16" s="18" t="s">
        <v>284</v>
      </c>
      <c r="C16" s="18" t="n">
        <v>121</v>
      </c>
      <c r="D16" s="30" t="n">
        <v>849.1</v>
      </c>
      <c r="E16" s="18" t="n">
        <v>15</v>
      </c>
    </row>
    <row r="17" customFormat="false" ht="15" hidden="false" customHeight="true" outlineLevel="0" collapsed="false">
      <c r="A17" s="18" t="s">
        <v>154</v>
      </c>
      <c r="B17" s="18" t="s">
        <v>285</v>
      </c>
      <c r="C17" s="18" t="n">
        <v>108</v>
      </c>
      <c r="D17" s="30" t="n">
        <v>769.71</v>
      </c>
      <c r="E17" s="18" t="n">
        <v>16</v>
      </c>
    </row>
    <row r="18" customFormat="false" ht="15" hidden="false" customHeight="true" outlineLevel="0" collapsed="false">
      <c r="A18" s="18" t="s">
        <v>154</v>
      </c>
      <c r="B18" s="18" t="s">
        <v>286</v>
      </c>
      <c r="C18" s="18" t="n">
        <v>137</v>
      </c>
      <c r="D18" s="30" t="n">
        <v>949.69</v>
      </c>
      <c r="E18" s="18" t="n">
        <v>17</v>
      </c>
    </row>
    <row r="19" customFormat="false" ht="15" hidden="false" customHeight="true" outlineLevel="0" collapsed="false">
      <c r="A19" s="18" t="s">
        <v>154</v>
      </c>
      <c r="B19" s="18" t="s">
        <v>287</v>
      </c>
      <c r="C19" s="18" t="n">
        <v>154</v>
      </c>
      <c r="D19" s="30" t="n">
        <v>1071.03</v>
      </c>
      <c r="E19" s="18" t="n">
        <v>18</v>
      </c>
    </row>
    <row r="20" customFormat="false" ht="15" hidden="false" customHeight="true" outlineLevel="0" collapsed="false">
      <c r="A20" s="18" t="s">
        <v>154</v>
      </c>
      <c r="B20" s="18" t="s">
        <v>288</v>
      </c>
      <c r="C20" s="18" t="n">
        <v>170</v>
      </c>
      <c r="D20" s="30" t="n">
        <v>1190.6</v>
      </c>
      <c r="E20" s="18" t="n">
        <v>19</v>
      </c>
    </row>
    <row r="21" customFormat="false" ht="15" hidden="false" customHeight="true" outlineLevel="0" collapsed="false">
      <c r="A21" s="18" t="s">
        <v>154</v>
      </c>
      <c r="B21" s="18" t="s">
        <v>289</v>
      </c>
      <c r="C21" s="18" t="n">
        <v>138</v>
      </c>
      <c r="D21" s="30" t="n">
        <v>959.6</v>
      </c>
      <c r="E21" s="18" t="n">
        <v>20</v>
      </c>
    </row>
    <row r="22" customFormat="false" ht="15" hidden="false" customHeight="true" outlineLevel="0" collapsed="false">
      <c r="A22" s="18" t="s">
        <v>154</v>
      </c>
      <c r="B22" s="18" t="s">
        <v>290</v>
      </c>
      <c r="C22" s="18" t="n">
        <v>112</v>
      </c>
      <c r="D22" s="30" t="n">
        <v>767.4</v>
      </c>
      <c r="E22" s="18" t="n">
        <v>21</v>
      </c>
    </row>
    <row r="23" customFormat="false" ht="15" hidden="false" customHeight="true" outlineLevel="0" collapsed="false">
      <c r="A23" s="18" t="s">
        <v>154</v>
      </c>
      <c r="B23" s="18" t="s">
        <v>291</v>
      </c>
      <c r="C23" s="18" t="n">
        <v>144</v>
      </c>
      <c r="D23" s="30" t="n">
        <v>981.52</v>
      </c>
      <c r="E23" s="18" t="n">
        <v>22</v>
      </c>
    </row>
    <row r="24" customFormat="false" ht="15" hidden="false" customHeight="true" outlineLevel="0" collapsed="false">
      <c r="A24" s="18" t="s">
        <v>154</v>
      </c>
      <c r="B24" s="18" t="s">
        <v>292</v>
      </c>
      <c r="C24" s="18" t="n">
        <v>138</v>
      </c>
      <c r="D24" s="30" t="n">
        <v>978.45</v>
      </c>
      <c r="E24" s="18" t="n">
        <v>23</v>
      </c>
    </row>
    <row r="25" customFormat="false" ht="15" hidden="false" customHeight="true" outlineLevel="0" collapsed="false">
      <c r="A25" s="18" t="s">
        <v>154</v>
      </c>
      <c r="B25" s="18" t="s">
        <v>293</v>
      </c>
      <c r="C25" s="18" t="n">
        <v>117</v>
      </c>
      <c r="D25" s="30" t="n">
        <v>817.55</v>
      </c>
      <c r="E25" s="18" t="n">
        <v>24</v>
      </c>
    </row>
    <row r="26" customFormat="false" ht="15" hidden="false" customHeight="true" outlineLevel="0" collapsed="false">
      <c r="A26" s="18" t="s">
        <v>154</v>
      </c>
      <c r="B26" s="18" t="s">
        <v>294</v>
      </c>
      <c r="C26" s="18" t="n">
        <v>143</v>
      </c>
      <c r="D26" s="30" t="n">
        <v>1005.86</v>
      </c>
      <c r="E26" s="18" t="n">
        <v>25</v>
      </c>
    </row>
    <row r="27" customFormat="false" ht="15" hidden="false" customHeight="true" outlineLevel="0" collapsed="false">
      <c r="A27" s="18" t="s">
        <v>154</v>
      </c>
      <c r="B27" s="18" t="s">
        <v>295</v>
      </c>
      <c r="C27" s="18" t="n">
        <v>147</v>
      </c>
      <c r="D27" s="30" t="n">
        <v>1046.86</v>
      </c>
      <c r="E27" s="18" t="n">
        <v>26</v>
      </c>
    </row>
    <row r="28" customFormat="false" ht="15" hidden="false" customHeight="true" outlineLevel="0" collapsed="false">
      <c r="A28" s="18" t="s">
        <v>154</v>
      </c>
      <c r="B28" s="18" t="s">
        <v>296</v>
      </c>
      <c r="C28" s="18" t="n">
        <v>121</v>
      </c>
      <c r="D28" s="30" t="n">
        <v>862.86</v>
      </c>
      <c r="E28" s="18" t="n">
        <v>27</v>
      </c>
    </row>
    <row r="29" customFormat="false" ht="15" hidden="false" customHeight="true" outlineLevel="0" collapsed="false">
      <c r="A29" s="18" t="s">
        <v>154</v>
      </c>
      <c r="B29" s="18" t="s">
        <v>297</v>
      </c>
      <c r="C29" s="18" t="n">
        <v>107</v>
      </c>
      <c r="D29" s="30" t="n">
        <v>746.75</v>
      </c>
      <c r="E29" s="18" t="n">
        <v>28</v>
      </c>
    </row>
    <row r="30" customFormat="false" ht="15" hidden="false" customHeight="true" outlineLevel="0" collapsed="false">
      <c r="A30" s="18" t="s">
        <v>154</v>
      </c>
      <c r="B30" s="18" t="s">
        <v>298</v>
      </c>
      <c r="C30" s="18" t="n">
        <v>155</v>
      </c>
      <c r="D30" s="30" t="n">
        <v>1094.75</v>
      </c>
      <c r="E30" s="18" t="n">
        <v>29</v>
      </c>
    </row>
    <row r="31" customFormat="false" ht="15" hidden="false" customHeight="true" outlineLevel="0" collapsed="false">
      <c r="A31" s="18" t="s">
        <v>154</v>
      </c>
      <c r="B31" s="18" t="s">
        <v>299</v>
      </c>
      <c r="C31" s="18" t="n">
        <v>92</v>
      </c>
      <c r="D31" s="30" t="n">
        <v>629.03</v>
      </c>
      <c r="E31" s="18" t="n">
        <v>30</v>
      </c>
    </row>
    <row r="32" customFormat="false" ht="15" hidden="false" customHeight="true" outlineLevel="0" collapsed="false">
      <c r="A32" s="18" t="s">
        <v>154</v>
      </c>
      <c r="B32" s="18" t="s">
        <v>300</v>
      </c>
      <c r="C32" s="18" t="n">
        <v>86</v>
      </c>
      <c r="D32" s="30" t="n">
        <v>582.34</v>
      </c>
      <c r="E32" s="18" t="n">
        <v>31</v>
      </c>
    </row>
    <row r="33" customFormat="false" ht="15" hidden="false" customHeight="true" outlineLevel="0" collapsed="false">
      <c r="A33" s="18" t="s">
        <v>154</v>
      </c>
      <c r="B33" s="18" t="s">
        <v>301</v>
      </c>
      <c r="C33" s="18" t="n">
        <v>149</v>
      </c>
      <c r="D33" s="30" t="n">
        <v>1038.09</v>
      </c>
      <c r="E33" s="18" t="n">
        <v>32</v>
      </c>
    </row>
    <row r="34" customFormat="false" ht="15" hidden="false" customHeight="true" outlineLevel="0" collapsed="false">
      <c r="A34" s="18" t="s">
        <v>154</v>
      </c>
      <c r="B34" s="18" t="s">
        <v>302</v>
      </c>
      <c r="C34" s="18" t="n">
        <v>162</v>
      </c>
      <c r="D34" s="30" t="n">
        <v>1121.99</v>
      </c>
      <c r="E34" s="18" t="n">
        <v>33</v>
      </c>
    </row>
    <row r="35" customFormat="false" ht="15" hidden="false" customHeight="true" outlineLevel="0" collapsed="false">
      <c r="A35" s="18" t="s">
        <v>154</v>
      </c>
      <c r="B35" s="18" t="s">
        <v>303</v>
      </c>
      <c r="C35" s="18" t="n">
        <v>149</v>
      </c>
      <c r="D35" s="30" t="n">
        <v>1050.43</v>
      </c>
      <c r="E35" s="18" t="n">
        <v>34</v>
      </c>
    </row>
    <row r="36" customFormat="false" ht="15" hidden="false" customHeight="true" outlineLevel="0" collapsed="false">
      <c r="A36" s="18" t="s">
        <v>154</v>
      </c>
      <c r="B36" s="18" t="s">
        <v>304</v>
      </c>
      <c r="C36" s="18" t="n">
        <v>152</v>
      </c>
      <c r="D36" s="30" t="n">
        <v>1054.38</v>
      </c>
      <c r="E36" s="18" t="n">
        <v>35</v>
      </c>
    </row>
    <row r="37" customFormat="false" ht="15" hidden="false" customHeight="true" outlineLevel="0" collapsed="false">
      <c r="A37" s="18" t="s">
        <v>154</v>
      </c>
      <c r="B37" s="18" t="s">
        <v>305</v>
      </c>
      <c r="C37" s="18" t="n">
        <v>51</v>
      </c>
      <c r="D37" s="30" t="n">
        <v>363.1</v>
      </c>
      <c r="E37" s="18" t="n">
        <v>36</v>
      </c>
    </row>
    <row r="38" customFormat="false" ht="15" hidden="false" customHeight="true" outlineLevel="0" collapsed="false">
      <c r="A38" s="18" t="s">
        <v>154</v>
      </c>
      <c r="B38" s="18" t="s">
        <v>306</v>
      </c>
      <c r="C38" s="18" t="n">
        <v>153</v>
      </c>
      <c r="D38" s="30" t="n">
        <v>1037.43</v>
      </c>
      <c r="E38" s="18" t="n">
        <v>37</v>
      </c>
    </row>
    <row r="39" customFormat="false" ht="15" hidden="false" customHeight="true" outlineLevel="0" collapsed="false">
      <c r="A39" s="18" t="s">
        <v>154</v>
      </c>
      <c r="B39" s="18" t="s">
        <v>307</v>
      </c>
      <c r="C39" s="18" t="n">
        <v>183</v>
      </c>
      <c r="D39" s="30" t="n">
        <v>1282.05</v>
      </c>
      <c r="E39" s="18" t="n">
        <v>38</v>
      </c>
    </row>
    <row r="40" customFormat="false" ht="15" hidden="false" customHeight="true" outlineLevel="0" collapsed="false">
      <c r="A40" s="18" t="s">
        <v>154</v>
      </c>
      <c r="B40" s="18" t="s">
        <v>308</v>
      </c>
      <c r="C40" s="18" t="n">
        <v>155</v>
      </c>
      <c r="D40" s="30" t="n">
        <v>1093.41</v>
      </c>
      <c r="E40" s="18" t="n">
        <v>39</v>
      </c>
    </row>
    <row r="41" customFormat="false" ht="15" hidden="false" customHeight="true" outlineLevel="0" collapsed="false">
      <c r="A41" s="18" t="s">
        <v>154</v>
      </c>
      <c r="B41" s="18" t="s">
        <v>309</v>
      </c>
      <c r="C41" s="18" t="n">
        <v>149</v>
      </c>
      <c r="D41" s="30" t="n">
        <v>1023.74</v>
      </c>
      <c r="E41" s="18" t="n">
        <v>40</v>
      </c>
    </row>
    <row r="42" customFormat="false" ht="15" hidden="false" customHeight="true" outlineLevel="0" collapsed="false">
      <c r="A42" s="18" t="s">
        <v>154</v>
      </c>
      <c r="B42" s="18" t="s">
        <v>310</v>
      </c>
      <c r="C42" s="18" t="n">
        <v>124</v>
      </c>
      <c r="D42" s="30" t="n">
        <v>874.12</v>
      </c>
      <c r="E42" s="18" t="n">
        <v>41</v>
      </c>
    </row>
    <row r="43" customFormat="false" ht="15" hidden="false" customHeight="true" outlineLevel="0" collapsed="false">
      <c r="A43" s="18" t="s">
        <v>154</v>
      </c>
      <c r="B43" s="18" t="s">
        <v>311</v>
      </c>
      <c r="C43" s="18" t="n">
        <v>121</v>
      </c>
      <c r="D43" s="30" t="n">
        <v>832.9</v>
      </c>
      <c r="E43" s="18" t="n">
        <v>42</v>
      </c>
    </row>
    <row r="44" customFormat="false" ht="15" hidden="false" customHeight="true" outlineLevel="0" collapsed="false">
      <c r="A44" s="18" t="s">
        <v>154</v>
      </c>
      <c r="B44" s="18" t="s">
        <v>312</v>
      </c>
      <c r="C44" s="18" t="n">
        <v>104</v>
      </c>
      <c r="D44" s="30" t="n">
        <v>706.93</v>
      </c>
      <c r="E44" s="18" t="n">
        <v>43</v>
      </c>
    </row>
    <row r="45" customFormat="false" ht="15" hidden="false" customHeight="true" outlineLevel="0" collapsed="false">
      <c r="A45" s="18" t="s">
        <v>154</v>
      </c>
      <c r="B45" s="18" t="s">
        <v>313</v>
      </c>
      <c r="C45" s="18" t="n">
        <v>118</v>
      </c>
      <c r="D45" s="30" t="n">
        <v>840.35</v>
      </c>
      <c r="E45" s="18" t="n">
        <v>44</v>
      </c>
    </row>
    <row r="46" customFormat="false" ht="15" hidden="false" customHeight="true" outlineLevel="0" collapsed="false">
      <c r="A46" s="18" t="s">
        <v>154</v>
      </c>
      <c r="B46" s="18" t="s">
        <v>314</v>
      </c>
      <c r="C46" s="18" t="n">
        <v>71</v>
      </c>
      <c r="D46" s="30" t="n">
        <v>489.29</v>
      </c>
      <c r="E46" s="18" t="n">
        <v>45</v>
      </c>
    </row>
    <row r="47" customFormat="false" ht="15" hidden="false" customHeight="true" outlineLevel="0" collapsed="false">
      <c r="A47" s="18" t="s">
        <v>154</v>
      </c>
      <c r="B47" s="18" t="s">
        <v>315</v>
      </c>
      <c r="C47" s="18" t="n">
        <v>149</v>
      </c>
      <c r="D47" s="30" t="n">
        <v>1037.35</v>
      </c>
      <c r="E47" s="18" t="n">
        <v>46</v>
      </c>
    </row>
    <row r="48" customFormat="false" ht="15" hidden="false" customHeight="true" outlineLevel="0" collapsed="false">
      <c r="A48" s="18" t="s">
        <v>154</v>
      </c>
      <c r="B48" s="18" t="s">
        <v>316</v>
      </c>
      <c r="C48" s="18" t="n">
        <v>77</v>
      </c>
      <c r="D48" s="30" t="n">
        <v>543.37</v>
      </c>
      <c r="E48" s="18" t="n">
        <v>47</v>
      </c>
    </row>
    <row r="49" customFormat="false" ht="15" hidden="false" customHeight="true" outlineLevel="0" collapsed="false">
      <c r="A49" s="18" t="s">
        <v>154</v>
      </c>
      <c r="B49" s="18" t="s">
        <v>317</v>
      </c>
      <c r="C49" s="18" t="n">
        <v>129</v>
      </c>
      <c r="D49" s="30" t="n">
        <v>888.62</v>
      </c>
      <c r="E49" s="18" t="n">
        <v>48</v>
      </c>
    </row>
    <row r="50" customFormat="false" ht="15" hidden="false" customHeight="true" outlineLevel="0" collapsed="false">
      <c r="A50" s="18" t="s">
        <v>154</v>
      </c>
      <c r="B50" s="18" t="s">
        <v>318</v>
      </c>
      <c r="C50" s="18" t="n">
        <v>146</v>
      </c>
      <c r="D50" s="30" t="n">
        <v>1026.48</v>
      </c>
      <c r="E50" s="18" t="n">
        <v>49</v>
      </c>
    </row>
    <row r="51" customFormat="false" ht="15" hidden="false" customHeight="true" outlineLevel="0" collapsed="false">
      <c r="A51" s="18" t="s">
        <v>154</v>
      </c>
      <c r="B51" s="18" t="s">
        <v>319</v>
      </c>
      <c r="C51" s="18" t="n">
        <v>133</v>
      </c>
      <c r="D51" s="30" t="n">
        <v>901.89</v>
      </c>
      <c r="E51" s="18" t="n">
        <v>50</v>
      </c>
    </row>
    <row r="52" customFormat="false" ht="15" hidden="false" customHeight="true" outlineLevel="0" collapsed="false">
      <c r="A52" s="18" t="s">
        <v>154</v>
      </c>
      <c r="B52" s="18" t="s">
        <v>320</v>
      </c>
      <c r="C52" s="18" t="n">
        <v>185</v>
      </c>
      <c r="D52" s="30" t="n">
        <v>1294.46</v>
      </c>
      <c r="E52" s="18" t="n">
        <v>51</v>
      </c>
    </row>
    <row r="53" customFormat="false" ht="15" hidden="false" customHeight="true" outlineLevel="0" collapsed="false">
      <c r="A53" s="18" t="s">
        <v>154</v>
      </c>
      <c r="B53" s="18" t="s">
        <v>321</v>
      </c>
      <c r="C53" s="18" t="n">
        <v>45</v>
      </c>
      <c r="D53" s="30" t="n">
        <v>313.95</v>
      </c>
      <c r="E53" s="18" t="n">
        <v>52</v>
      </c>
    </row>
    <row r="54" customFormat="false" ht="15" hidden="false" customHeight="true" outlineLevel="0" collapsed="false">
      <c r="A54" s="18" t="s">
        <v>160</v>
      </c>
      <c r="B54" s="18" t="s">
        <v>270</v>
      </c>
      <c r="C54" s="18" t="n">
        <v>132</v>
      </c>
      <c r="D54" s="30" t="n">
        <v>867.72</v>
      </c>
      <c r="E54" s="18" t="n">
        <v>1</v>
      </c>
    </row>
    <row r="55" customFormat="false" ht="15" hidden="false" customHeight="true" outlineLevel="0" collapsed="false">
      <c r="A55" s="18" t="s">
        <v>160</v>
      </c>
      <c r="B55" s="18" t="s">
        <v>271</v>
      </c>
      <c r="C55" s="18" t="n">
        <v>148</v>
      </c>
      <c r="D55" s="30" t="n">
        <v>963.73</v>
      </c>
      <c r="E55" s="18" t="n">
        <v>2</v>
      </c>
    </row>
    <row r="56" customFormat="false" ht="15" hidden="false" customHeight="true" outlineLevel="0" collapsed="false">
      <c r="A56" s="18" t="s">
        <v>160</v>
      </c>
      <c r="B56" s="18" t="s">
        <v>272</v>
      </c>
      <c r="C56" s="18" t="n">
        <v>183</v>
      </c>
      <c r="D56" s="30" t="n">
        <v>1226.32</v>
      </c>
      <c r="E56" s="18" t="n">
        <v>3</v>
      </c>
    </row>
    <row r="57" customFormat="false" ht="15" hidden="false" customHeight="true" outlineLevel="0" collapsed="false">
      <c r="A57" s="18" t="s">
        <v>160</v>
      </c>
      <c r="B57" s="18" t="s">
        <v>273</v>
      </c>
      <c r="C57" s="18" t="n">
        <v>148</v>
      </c>
      <c r="D57" s="30" t="n">
        <v>1004.41</v>
      </c>
      <c r="E57" s="18" t="n">
        <v>4</v>
      </c>
    </row>
    <row r="58" customFormat="false" ht="15" hidden="false" customHeight="true" outlineLevel="0" collapsed="false">
      <c r="A58" s="18" t="s">
        <v>160</v>
      </c>
      <c r="B58" s="18" t="s">
        <v>274</v>
      </c>
      <c r="C58" s="18" t="n">
        <v>186</v>
      </c>
      <c r="D58" s="30" t="n">
        <v>1209.85</v>
      </c>
      <c r="E58" s="18" t="n">
        <v>5</v>
      </c>
    </row>
    <row r="59" customFormat="false" ht="15" hidden="false" customHeight="true" outlineLevel="0" collapsed="false">
      <c r="A59" s="18" t="s">
        <v>160</v>
      </c>
      <c r="B59" s="18" t="s">
        <v>275</v>
      </c>
      <c r="C59" s="18" t="n">
        <v>199</v>
      </c>
      <c r="D59" s="30" t="n">
        <v>1280.44</v>
      </c>
      <c r="E59" s="18" t="n">
        <v>6</v>
      </c>
    </row>
    <row r="60" customFormat="false" ht="15" hidden="false" customHeight="true" outlineLevel="0" collapsed="false">
      <c r="A60" s="18" t="s">
        <v>160</v>
      </c>
      <c r="B60" s="18" t="s">
        <v>276</v>
      </c>
      <c r="C60" s="18" t="n">
        <v>194</v>
      </c>
      <c r="D60" s="30" t="n">
        <v>1247.04</v>
      </c>
      <c r="E60" s="18" t="n">
        <v>7</v>
      </c>
    </row>
    <row r="61" customFormat="false" ht="15" hidden="false" customHeight="true" outlineLevel="0" collapsed="false">
      <c r="A61" s="18" t="s">
        <v>160</v>
      </c>
      <c r="B61" s="18" t="s">
        <v>277</v>
      </c>
      <c r="C61" s="18" t="n">
        <v>196</v>
      </c>
      <c r="D61" s="30" t="n">
        <v>1255.14</v>
      </c>
      <c r="E61" s="18" t="n">
        <v>8</v>
      </c>
    </row>
    <row r="62" customFormat="false" ht="15" hidden="false" customHeight="true" outlineLevel="0" collapsed="false">
      <c r="A62" s="18" t="s">
        <v>160</v>
      </c>
      <c r="B62" s="18" t="s">
        <v>278</v>
      </c>
      <c r="C62" s="18" t="n">
        <v>173</v>
      </c>
      <c r="D62" s="30" t="n">
        <v>1115.65</v>
      </c>
      <c r="E62" s="18" t="n">
        <v>9</v>
      </c>
    </row>
    <row r="63" customFormat="false" ht="15" hidden="false" customHeight="true" outlineLevel="0" collapsed="false">
      <c r="A63" s="18" t="s">
        <v>160</v>
      </c>
      <c r="B63" s="18" t="s">
        <v>279</v>
      </c>
      <c r="C63" s="18" t="n">
        <v>190</v>
      </c>
      <c r="D63" s="30" t="n">
        <v>1229.43</v>
      </c>
      <c r="E63" s="18" t="n">
        <v>10</v>
      </c>
    </row>
    <row r="64" customFormat="false" ht="15" hidden="false" customHeight="true" outlineLevel="0" collapsed="false">
      <c r="A64" s="18" t="s">
        <v>160</v>
      </c>
      <c r="B64" s="18" t="s">
        <v>280</v>
      </c>
      <c r="C64" s="18" t="n">
        <v>172</v>
      </c>
      <c r="D64" s="30" t="n">
        <v>1144.11</v>
      </c>
      <c r="E64" s="18" t="n">
        <v>11</v>
      </c>
    </row>
    <row r="65" customFormat="false" ht="15" hidden="false" customHeight="true" outlineLevel="0" collapsed="false">
      <c r="A65" s="18" t="s">
        <v>160</v>
      </c>
      <c r="B65" s="18" t="s">
        <v>281</v>
      </c>
      <c r="C65" s="18" t="n">
        <v>169</v>
      </c>
      <c r="D65" s="30" t="n">
        <v>1080.66</v>
      </c>
      <c r="E65" s="18" t="n">
        <v>12</v>
      </c>
    </row>
    <row r="66" customFormat="false" ht="15" hidden="false" customHeight="true" outlineLevel="0" collapsed="false">
      <c r="A66" s="18" t="s">
        <v>160</v>
      </c>
      <c r="B66" s="18" t="s">
        <v>282</v>
      </c>
      <c r="C66" s="18" t="n">
        <v>183</v>
      </c>
      <c r="D66" s="30" t="n">
        <v>1213.63</v>
      </c>
      <c r="E66" s="18" t="n">
        <v>13</v>
      </c>
    </row>
    <row r="67" customFormat="false" ht="15" hidden="false" customHeight="true" outlineLevel="0" collapsed="false">
      <c r="A67" s="18" t="s">
        <v>160</v>
      </c>
      <c r="B67" s="18" t="s">
        <v>283</v>
      </c>
      <c r="C67" s="18" t="n">
        <v>134</v>
      </c>
      <c r="D67" s="30" t="n">
        <v>869.21</v>
      </c>
      <c r="E67" s="18" t="n">
        <v>14</v>
      </c>
    </row>
    <row r="68" customFormat="false" ht="15" hidden="false" customHeight="true" outlineLevel="0" collapsed="false">
      <c r="A68" s="18" t="s">
        <v>160</v>
      </c>
      <c r="B68" s="18" t="s">
        <v>284</v>
      </c>
      <c r="C68" s="18" t="n">
        <v>109</v>
      </c>
      <c r="D68" s="30" t="n">
        <v>699.23</v>
      </c>
      <c r="E68" s="18" t="n">
        <v>15</v>
      </c>
    </row>
    <row r="69" customFormat="false" ht="15" hidden="false" customHeight="true" outlineLevel="0" collapsed="false">
      <c r="A69" s="18" t="s">
        <v>160</v>
      </c>
      <c r="B69" s="18" t="s">
        <v>285</v>
      </c>
      <c r="C69" s="18" t="n">
        <v>156</v>
      </c>
      <c r="D69" s="30" t="n">
        <v>1054.43</v>
      </c>
      <c r="E69" s="18" t="n">
        <v>16</v>
      </c>
    </row>
    <row r="70" customFormat="false" ht="15" hidden="false" customHeight="true" outlineLevel="0" collapsed="false">
      <c r="A70" s="18" t="s">
        <v>160</v>
      </c>
      <c r="B70" s="18" t="s">
        <v>286</v>
      </c>
      <c r="C70" s="18" t="n">
        <v>140</v>
      </c>
      <c r="D70" s="30" t="n">
        <v>933.57</v>
      </c>
      <c r="E70" s="18" t="n">
        <v>17</v>
      </c>
    </row>
    <row r="71" customFormat="false" ht="15" hidden="false" customHeight="true" outlineLevel="0" collapsed="false">
      <c r="A71" s="18" t="s">
        <v>160</v>
      </c>
      <c r="B71" s="18" t="s">
        <v>287</v>
      </c>
      <c r="C71" s="18" t="n">
        <v>152</v>
      </c>
      <c r="D71" s="30" t="n">
        <v>974.04</v>
      </c>
      <c r="E71" s="18" t="n">
        <v>18</v>
      </c>
    </row>
    <row r="72" customFormat="false" ht="15" hidden="false" customHeight="true" outlineLevel="0" collapsed="false">
      <c r="A72" s="18" t="s">
        <v>160</v>
      </c>
      <c r="B72" s="18" t="s">
        <v>288</v>
      </c>
      <c r="C72" s="18" t="n">
        <v>116</v>
      </c>
      <c r="D72" s="30" t="n">
        <v>747.24</v>
      </c>
      <c r="E72" s="18" t="n">
        <v>19</v>
      </c>
    </row>
    <row r="73" customFormat="false" ht="15" hidden="false" customHeight="true" outlineLevel="0" collapsed="false">
      <c r="A73" s="18" t="s">
        <v>160</v>
      </c>
      <c r="B73" s="18" t="s">
        <v>289</v>
      </c>
      <c r="C73" s="18" t="n">
        <v>124</v>
      </c>
      <c r="D73" s="30" t="n">
        <v>829.18</v>
      </c>
      <c r="E73" s="18" t="n">
        <v>20</v>
      </c>
    </row>
    <row r="74" customFormat="false" ht="15" hidden="false" customHeight="true" outlineLevel="0" collapsed="false">
      <c r="A74" s="18" t="s">
        <v>160</v>
      </c>
      <c r="B74" s="18" t="s">
        <v>290</v>
      </c>
      <c r="C74" s="18" t="n">
        <v>128</v>
      </c>
      <c r="D74" s="30" t="n">
        <v>861.29</v>
      </c>
      <c r="E74" s="18" t="n">
        <v>21</v>
      </c>
    </row>
    <row r="75" customFormat="false" ht="15" hidden="false" customHeight="true" outlineLevel="0" collapsed="false">
      <c r="A75" s="18" t="s">
        <v>160</v>
      </c>
      <c r="B75" s="18" t="s">
        <v>291</v>
      </c>
      <c r="C75" s="18" t="n">
        <v>119</v>
      </c>
      <c r="D75" s="30" t="n">
        <v>795.25</v>
      </c>
      <c r="E75" s="18" t="n">
        <v>22</v>
      </c>
    </row>
    <row r="76" customFormat="false" ht="15" hidden="false" customHeight="true" outlineLevel="0" collapsed="false">
      <c r="A76" s="18" t="s">
        <v>160</v>
      </c>
      <c r="B76" s="18" t="s">
        <v>292</v>
      </c>
      <c r="C76" s="18" t="n">
        <v>118</v>
      </c>
      <c r="D76" s="30" t="n">
        <v>766.92</v>
      </c>
      <c r="E76" s="18" t="n">
        <v>23</v>
      </c>
    </row>
    <row r="77" customFormat="false" ht="15" hidden="false" customHeight="true" outlineLevel="0" collapsed="false">
      <c r="A77" s="18" t="s">
        <v>160</v>
      </c>
      <c r="B77" s="18" t="s">
        <v>293</v>
      </c>
      <c r="C77" s="18" t="n">
        <v>151</v>
      </c>
      <c r="D77" s="30" t="n">
        <v>1023.76</v>
      </c>
      <c r="E77" s="18" t="n">
        <v>24</v>
      </c>
    </row>
    <row r="78" customFormat="false" ht="15" hidden="false" customHeight="true" outlineLevel="0" collapsed="false">
      <c r="A78" s="18" t="s">
        <v>160</v>
      </c>
      <c r="B78" s="18" t="s">
        <v>294</v>
      </c>
      <c r="C78" s="18" t="n">
        <v>121</v>
      </c>
      <c r="D78" s="30" t="n">
        <v>776.08</v>
      </c>
      <c r="E78" s="18" t="n">
        <v>25</v>
      </c>
    </row>
    <row r="79" customFormat="false" ht="15" hidden="false" customHeight="true" outlineLevel="0" collapsed="false">
      <c r="A79" s="18" t="s">
        <v>160</v>
      </c>
      <c r="B79" s="18" t="s">
        <v>295</v>
      </c>
      <c r="C79" s="18" t="n">
        <v>134</v>
      </c>
      <c r="D79" s="30" t="n">
        <v>858.81</v>
      </c>
      <c r="E79" s="18" t="n">
        <v>26</v>
      </c>
    </row>
    <row r="80" customFormat="false" ht="15" hidden="false" customHeight="true" outlineLevel="0" collapsed="false">
      <c r="A80" s="18" t="s">
        <v>160</v>
      </c>
      <c r="B80" s="18" t="s">
        <v>296</v>
      </c>
      <c r="C80" s="18" t="n">
        <v>159</v>
      </c>
      <c r="D80" s="30" t="n">
        <v>1060.99</v>
      </c>
      <c r="E80" s="18" t="n">
        <v>27</v>
      </c>
    </row>
    <row r="81" customFormat="false" ht="15" hidden="false" customHeight="true" outlineLevel="0" collapsed="false">
      <c r="A81" s="18" t="s">
        <v>160</v>
      </c>
      <c r="B81" s="18" t="s">
        <v>297</v>
      </c>
      <c r="C81" s="18" t="n">
        <v>189</v>
      </c>
      <c r="D81" s="30" t="n">
        <v>1215</v>
      </c>
      <c r="E81" s="18" t="n">
        <v>28</v>
      </c>
    </row>
    <row r="82" customFormat="false" ht="15" hidden="false" customHeight="true" outlineLevel="0" collapsed="false">
      <c r="A82" s="18" t="s">
        <v>160</v>
      </c>
      <c r="B82" s="18" t="s">
        <v>298</v>
      </c>
      <c r="C82" s="18" t="n">
        <v>167</v>
      </c>
      <c r="D82" s="30" t="n">
        <v>1132.23</v>
      </c>
      <c r="E82" s="18" t="n">
        <v>29</v>
      </c>
    </row>
    <row r="83" customFormat="false" ht="15" hidden="false" customHeight="true" outlineLevel="0" collapsed="false">
      <c r="A83" s="18" t="s">
        <v>160</v>
      </c>
      <c r="B83" s="18" t="s">
        <v>299</v>
      </c>
      <c r="C83" s="18" t="n">
        <v>171</v>
      </c>
      <c r="D83" s="30" t="n">
        <v>1146.1</v>
      </c>
      <c r="E83" s="18" t="n">
        <v>30</v>
      </c>
    </row>
    <row r="84" customFormat="false" ht="15" hidden="false" customHeight="true" outlineLevel="0" collapsed="false">
      <c r="A84" s="18" t="s">
        <v>160</v>
      </c>
      <c r="B84" s="18" t="s">
        <v>300</v>
      </c>
      <c r="C84" s="18" t="n">
        <v>187</v>
      </c>
      <c r="D84" s="30" t="n">
        <v>1237.68</v>
      </c>
      <c r="E84" s="18" t="n">
        <v>31</v>
      </c>
    </row>
    <row r="85" customFormat="false" ht="15" hidden="false" customHeight="true" outlineLevel="0" collapsed="false">
      <c r="A85" s="18" t="s">
        <v>160</v>
      </c>
      <c r="B85" s="18" t="s">
        <v>301</v>
      </c>
      <c r="C85" s="18" t="n">
        <v>204</v>
      </c>
      <c r="D85" s="30" t="n">
        <v>1380.34</v>
      </c>
      <c r="E85" s="18" t="n">
        <v>32</v>
      </c>
    </row>
    <row r="86" customFormat="false" ht="15" hidden="false" customHeight="true" outlineLevel="0" collapsed="false">
      <c r="A86" s="18" t="s">
        <v>160</v>
      </c>
      <c r="B86" s="18" t="s">
        <v>302</v>
      </c>
      <c r="C86" s="18" t="n">
        <v>190</v>
      </c>
      <c r="D86" s="30" t="n">
        <v>1257.96</v>
      </c>
      <c r="E86" s="18" t="n">
        <v>33</v>
      </c>
    </row>
    <row r="87" customFormat="false" ht="15" hidden="false" customHeight="true" outlineLevel="0" collapsed="false">
      <c r="A87" s="18" t="s">
        <v>160</v>
      </c>
      <c r="B87" s="18" t="s">
        <v>303</v>
      </c>
      <c r="C87" s="18" t="n">
        <v>224</v>
      </c>
      <c r="D87" s="30" t="n">
        <v>1489.38</v>
      </c>
      <c r="E87" s="18" t="n">
        <v>34</v>
      </c>
    </row>
    <row r="88" customFormat="false" ht="15" hidden="false" customHeight="true" outlineLevel="0" collapsed="false">
      <c r="A88" s="18" t="s">
        <v>160</v>
      </c>
      <c r="B88" s="18" t="s">
        <v>304</v>
      </c>
      <c r="C88" s="18" t="n">
        <v>223</v>
      </c>
      <c r="D88" s="30" t="n">
        <v>1438.57</v>
      </c>
      <c r="E88" s="18" t="n">
        <v>35</v>
      </c>
    </row>
    <row r="89" customFormat="false" ht="15" hidden="false" customHeight="true" outlineLevel="0" collapsed="false">
      <c r="A89" s="18" t="s">
        <v>160</v>
      </c>
      <c r="B89" s="18" t="s">
        <v>305</v>
      </c>
      <c r="C89" s="18" t="n">
        <v>190</v>
      </c>
      <c r="D89" s="30" t="n">
        <v>1244.89</v>
      </c>
      <c r="E89" s="18" t="n">
        <v>36</v>
      </c>
    </row>
    <row r="90" customFormat="false" ht="15" hidden="false" customHeight="true" outlineLevel="0" collapsed="false">
      <c r="A90" s="18" t="s">
        <v>160</v>
      </c>
      <c r="B90" s="18" t="s">
        <v>306</v>
      </c>
      <c r="C90" s="18" t="n">
        <v>231</v>
      </c>
      <c r="D90" s="30" t="n">
        <v>1487.51</v>
      </c>
      <c r="E90" s="18" t="n">
        <v>37</v>
      </c>
    </row>
    <row r="91" customFormat="false" ht="15" hidden="false" customHeight="true" outlineLevel="0" collapsed="false">
      <c r="A91" s="18" t="s">
        <v>160</v>
      </c>
      <c r="B91" s="18" t="s">
        <v>307</v>
      </c>
      <c r="C91" s="18" t="n">
        <v>182</v>
      </c>
      <c r="D91" s="30" t="n">
        <v>1183.41</v>
      </c>
      <c r="E91" s="18" t="n">
        <v>38</v>
      </c>
    </row>
    <row r="92" customFormat="false" ht="15" hidden="false" customHeight="true" outlineLevel="0" collapsed="false">
      <c r="A92" s="18" t="s">
        <v>160</v>
      </c>
      <c r="B92" s="18" t="s">
        <v>308</v>
      </c>
      <c r="C92" s="18" t="n">
        <v>195</v>
      </c>
      <c r="D92" s="30" t="n">
        <v>1279.49</v>
      </c>
      <c r="E92" s="18" t="n">
        <v>39</v>
      </c>
    </row>
    <row r="93" customFormat="false" ht="15" hidden="false" customHeight="true" outlineLevel="0" collapsed="false">
      <c r="A93" s="18" t="s">
        <v>160</v>
      </c>
      <c r="B93" s="18" t="s">
        <v>309</v>
      </c>
      <c r="C93" s="18" t="n">
        <v>171</v>
      </c>
      <c r="D93" s="30" t="n">
        <v>1135.99</v>
      </c>
      <c r="E93" s="18" t="n">
        <v>40</v>
      </c>
    </row>
    <row r="94" customFormat="false" ht="15" hidden="false" customHeight="true" outlineLevel="0" collapsed="false">
      <c r="A94" s="18" t="s">
        <v>160</v>
      </c>
      <c r="B94" s="18" t="s">
        <v>310</v>
      </c>
      <c r="C94" s="18" t="n">
        <v>162</v>
      </c>
      <c r="D94" s="30" t="n">
        <v>1061.74</v>
      </c>
      <c r="E94" s="18" t="n">
        <v>41</v>
      </c>
    </row>
    <row r="95" customFormat="false" ht="15" hidden="false" customHeight="true" outlineLevel="0" collapsed="false">
      <c r="A95" s="18" t="s">
        <v>160</v>
      </c>
      <c r="B95" s="18" t="s">
        <v>311</v>
      </c>
      <c r="C95" s="18" t="n">
        <v>120</v>
      </c>
      <c r="D95" s="30" t="n">
        <v>794.99</v>
      </c>
      <c r="E95" s="18" t="n">
        <v>42</v>
      </c>
    </row>
    <row r="96" customFormat="false" ht="15" hidden="false" customHeight="true" outlineLevel="0" collapsed="false">
      <c r="A96" s="18" t="s">
        <v>160</v>
      </c>
      <c r="B96" s="18" t="s">
        <v>312</v>
      </c>
      <c r="C96" s="18" t="n">
        <v>123</v>
      </c>
      <c r="D96" s="30" t="n">
        <v>788.01</v>
      </c>
      <c r="E96" s="18" t="n">
        <v>43</v>
      </c>
    </row>
    <row r="97" customFormat="false" ht="15" hidden="false" customHeight="true" outlineLevel="0" collapsed="false">
      <c r="A97" s="18" t="s">
        <v>160</v>
      </c>
      <c r="B97" s="18" t="s">
        <v>313</v>
      </c>
      <c r="C97" s="18" t="n">
        <v>132</v>
      </c>
      <c r="D97" s="30" t="n">
        <v>868.53</v>
      </c>
      <c r="E97" s="18" t="n">
        <v>44</v>
      </c>
    </row>
    <row r="98" customFormat="false" ht="15" hidden="false" customHeight="true" outlineLevel="0" collapsed="false">
      <c r="A98" s="18" t="s">
        <v>160</v>
      </c>
      <c r="B98" s="18" t="s">
        <v>314</v>
      </c>
      <c r="C98" s="18" t="n">
        <v>150</v>
      </c>
      <c r="D98" s="30" t="n">
        <v>992.8</v>
      </c>
      <c r="E98" s="18" t="n">
        <v>45</v>
      </c>
    </row>
    <row r="99" customFormat="false" ht="15" hidden="false" customHeight="true" outlineLevel="0" collapsed="false">
      <c r="A99" s="18" t="s">
        <v>160</v>
      </c>
      <c r="B99" s="18" t="s">
        <v>315</v>
      </c>
      <c r="C99" s="18" t="n">
        <v>136</v>
      </c>
      <c r="D99" s="30" t="n">
        <v>907.1</v>
      </c>
      <c r="E99" s="18" t="n">
        <v>46</v>
      </c>
    </row>
    <row r="100" customFormat="false" ht="15" hidden="false" customHeight="true" outlineLevel="0" collapsed="false">
      <c r="A100" s="18" t="s">
        <v>160</v>
      </c>
      <c r="B100" s="18" t="s">
        <v>316</v>
      </c>
      <c r="C100" s="18" t="n">
        <v>126</v>
      </c>
      <c r="D100" s="30" t="n">
        <v>837.93</v>
      </c>
      <c r="E100" s="18" t="n">
        <v>47</v>
      </c>
    </row>
    <row r="101" customFormat="false" ht="15" hidden="false" customHeight="true" outlineLevel="0" collapsed="false">
      <c r="A101" s="18" t="s">
        <v>160</v>
      </c>
      <c r="B101" s="18" t="s">
        <v>317</v>
      </c>
      <c r="C101" s="18" t="n">
        <v>143</v>
      </c>
      <c r="D101" s="30" t="n">
        <v>958.62</v>
      </c>
      <c r="E101" s="18" t="n">
        <v>48</v>
      </c>
    </row>
    <row r="102" customFormat="false" ht="15" hidden="false" customHeight="true" outlineLevel="0" collapsed="false">
      <c r="A102" s="18" t="s">
        <v>160</v>
      </c>
      <c r="B102" s="18" t="s">
        <v>318</v>
      </c>
      <c r="C102" s="18" t="n">
        <v>155</v>
      </c>
      <c r="D102" s="30" t="n">
        <v>1017.25</v>
      </c>
      <c r="E102" s="18" t="n">
        <v>49</v>
      </c>
    </row>
    <row r="103" customFormat="false" ht="15" hidden="false" customHeight="true" outlineLevel="0" collapsed="false">
      <c r="A103" s="18" t="s">
        <v>160</v>
      </c>
      <c r="B103" s="18" t="s">
        <v>319</v>
      </c>
      <c r="C103" s="18" t="n">
        <v>143</v>
      </c>
      <c r="D103" s="30" t="n">
        <v>934.49</v>
      </c>
      <c r="E103" s="18" t="n">
        <v>50</v>
      </c>
    </row>
    <row r="104" customFormat="false" ht="15" hidden="false" customHeight="true" outlineLevel="0" collapsed="false">
      <c r="A104" s="18" t="s">
        <v>160</v>
      </c>
      <c r="B104" s="18" t="s">
        <v>320</v>
      </c>
      <c r="C104" s="18" t="n">
        <v>155</v>
      </c>
      <c r="D104" s="30" t="n">
        <v>1035.96</v>
      </c>
      <c r="E104" s="18" t="n">
        <v>51</v>
      </c>
    </row>
    <row r="105" customFormat="false" ht="15" hidden="false" customHeight="true" outlineLevel="0" collapsed="false">
      <c r="A105" s="18" t="s">
        <v>160</v>
      </c>
      <c r="B105" s="18" t="s">
        <v>321</v>
      </c>
      <c r="C105" s="18" t="n">
        <v>161</v>
      </c>
      <c r="D105" s="30" t="n">
        <v>1087.79</v>
      </c>
      <c r="E105" s="18" t="n">
        <v>52</v>
      </c>
    </row>
    <row r="106" customFormat="false" ht="15" hidden="false" customHeight="true" outlineLevel="0" collapsed="false">
      <c r="A106" s="18" t="s">
        <v>164</v>
      </c>
      <c r="B106" s="18" t="s">
        <v>270</v>
      </c>
      <c r="C106" s="18" t="n">
        <v>88</v>
      </c>
      <c r="D106" s="30" t="n">
        <v>433.69</v>
      </c>
      <c r="E106" s="18" t="n">
        <v>1</v>
      </c>
    </row>
    <row r="107" customFormat="false" ht="15" hidden="false" customHeight="true" outlineLevel="0" collapsed="false">
      <c r="A107" s="18" t="s">
        <v>164</v>
      </c>
      <c r="B107" s="18" t="s">
        <v>271</v>
      </c>
      <c r="C107" s="18" t="n">
        <v>144</v>
      </c>
      <c r="D107" s="30" t="n">
        <v>691.69</v>
      </c>
      <c r="E107" s="18" t="n">
        <v>2</v>
      </c>
    </row>
    <row r="108" customFormat="false" ht="15" hidden="false" customHeight="true" outlineLevel="0" collapsed="false">
      <c r="A108" s="18" t="s">
        <v>164</v>
      </c>
      <c r="B108" s="18" t="s">
        <v>272</v>
      </c>
      <c r="C108" s="18" t="n">
        <v>167</v>
      </c>
      <c r="D108" s="30" t="n">
        <v>801.36</v>
      </c>
      <c r="E108" s="18" t="n">
        <v>3</v>
      </c>
    </row>
    <row r="109" customFormat="false" ht="15" hidden="false" customHeight="true" outlineLevel="0" collapsed="false">
      <c r="A109" s="18" t="s">
        <v>164</v>
      </c>
      <c r="B109" s="18" t="s">
        <v>273</v>
      </c>
      <c r="C109" s="18" t="n">
        <v>118</v>
      </c>
      <c r="D109" s="30" t="n">
        <v>575.95</v>
      </c>
      <c r="E109" s="18" t="n">
        <v>4</v>
      </c>
    </row>
    <row r="110" customFormat="false" ht="15" hidden="false" customHeight="true" outlineLevel="0" collapsed="false">
      <c r="A110" s="18" t="s">
        <v>164</v>
      </c>
      <c r="B110" s="18" t="s">
        <v>274</v>
      </c>
      <c r="C110" s="18" t="n">
        <v>120</v>
      </c>
      <c r="D110" s="30" t="n">
        <v>584.99</v>
      </c>
      <c r="E110" s="18" t="n">
        <v>5</v>
      </c>
    </row>
    <row r="111" customFormat="false" ht="15" hidden="false" customHeight="true" outlineLevel="0" collapsed="false">
      <c r="A111" s="18" t="s">
        <v>164</v>
      </c>
      <c r="B111" s="18" t="s">
        <v>275</v>
      </c>
      <c r="C111" s="18" t="n">
        <v>60</v>
      </c>
      <c r="D111" s="30" t="n">
        <v>287.19</v>
      </c>
      <c r="E111" s="18" t="n">
        <v>6</v>
      </c>
    </row>
    <row r="112" customFormat="false" ht="15" hidden="false" customHeight="true" outlineLevel="0" collapsed="false">
      <c r="A112" s="18" t="s">
        <v>164</v>
      </c>
      <c r="B112" s="18" t="s">
        <v>276</v>
      </c>
      <c r="C112" s="18" t="n">
        <v>55</v>
      </c>
      <c r="D112" s="30" t="n">
        <v>276.95</v>
      </c>
      <c r="E112" s="18" t="n">
        <v>7</v>
      </c>
    </row>
    <row r="113" customFormat="false" ht="15" hidden="false" customHeight="true" outlineLevel="0" collapsed="false">
      <c r="A113" s="18" t="s">
        <v>164</v>
      </c>
      <c r="B113" s="18" t="s">
        <v>277</v>
      </c>
      <c r="C113" s="18" t="n">
        <v>192</v>
      </c>
      <c r="D113" s="30" t="n">
        <v>926.89</v>
      </c>
      <c r="E113" s="18" t="n">
        <v>8</v>
      </c>
    </row>
    <row r="114" customFormat="false" ht="15" hidden="false" customHeight="true" outlineLevel="0" collapsed="false">
      <c r="A114" s="18" t="s">
        <v>164</v>
      </c>
      <c r="B114" s="18" t="s">
        <v>278</v>
      </c>
      <c r="C114" s="18" t="n">
        <v>107</v>
      </c>
      <c r="D114" s="30" t="n">
        <v>515.47</v>
      </c>
      <c r="E114" s="18" t="n">
        <v>9</v>
      </c>
    </row>
    <row r="115" customFormat="false" ht="15" hidden="false" customHeight="true" outlineLevel="0" collapsed="false">
      <c r="A115" s="18" t="s">
        <v>164</v>
      </c>
      <c r="B115" s="18" t="s">
        <v>279</v>
      </c>
      <c r="C115" s="18" t="n">
        <v>15</v>
      </c>
      <c r="D115" s="30" t="n">
        <v>75.98</v>
      </c>
      <c r="E115" s="18" t="n">
        <v>10</v>
      </c>
    </row>
    <row r="116" customFormat="false" ht="15" hidden="false" customHeight="true" outlineLevel="0" collapsed="false">
      <c r="A116" s="18" t="s">
        <v>164</v>
      </c>
      <c r="B116" s="18" t="s">
        <v>280</v>
      </c>
      <c r="C116" s="18" t="n">
        <v>230</v>
      </c>
      <c r="D116" s="30" t="n">
        <v>1152.41</v>
      </c>
      <c r="E116" s="18" t="n">
        <v>11</v>
      </c>
    </row>
    <row r="117" customFormat="false" ht="15" hidden="false" customHeight="true" outlineLevel="0" collapsed="false">
      <c r="A117" s="18" t="s">
        <v>164</v>
      </c>
      <c r="B117" s="18" t="s">
        <v>281</v>
      </c>
      <c r="C117" s="18" t="n">
        <v>109</v>
      </c>
      <c r="D117" s="30" t="n">
        <v>543.42</v>
      </c>
      <c r="E117" s="18" t="n">
        <v>12</v>
      </c>
    </row>
    <row r="118" customFormat="false" ht="15" hidden="false" customHeight="true" outlineLevel="0" collapsed="false">
      <c r="A118" s="18" t="s">
        <v>164</v>
      </c>
      <c r="B118" s="18" t="s">
        <v>282</v>
      </c>
      <c r="C118" s="18" t="n">
        <v>68</v>
      </c>
      <c r="D118" s="30" t="n">
        <v>332.98</v>
      </c>
      <c r="E118" s="18" t="n">
        <v>13</v>
      </c>
    </row>
    <row r="119" customFormat="false" ht="15" hidden="false" customHeight="true" outlineLevel="0" collapsed="false">
      <c r="A119" s="18" t="s">
        <v>164</v>
      </c>
      <c r="B119" s="18" t="s">
        <v>283</v>
      </c>
      <c r="C119" s="18" t="n">
        <v>130</v>
      </c>
      <c r="D119" s="30" t="n">
        <v>622.09</v>
      </c>
      <c r="E119" s="18" t="n">
        <v>14</v>
      </c>
    </row>
    <row r="120" customFormat="false" ht="15" hidden="false" customHeight="true" outlineLevel="0" collapsed="false">
      <c r="A120" s="18" t="s">
        <v>164</v>
      </c>
      <c r="B120" s="18" t="s">
        <v>284</v>
      </c>
      <c r="C120" s="18" t="n">
        <v>152</v>
      </c>
      <c r="D120" s="30" t="n">
        <v>750.49</v>
      </c>
      <c r="E120" s="18" t="n">
        <v>15</v>
      </c>
    </row>
    <row r="121" customFormat="false" ht="15" hidden="false" customHeight="true" outlineLevel="0" collapsed="false">
      <c r="A121" s="18" t="s">
        <v>164</v>
      </c>
      <c r="B121" s="18" t="s">
        <v>285</v>
      </c>
      <c r="C121" s="18" t="n">
        <v>144</v>
      </c>
      <c r="D121" s="30" t="n">
        <v>695.69</v>
      </c>
      <c r="E121" s="18" t="n">
        <v>16</v>
      </c>
    </row>
    <row r="122" customFormat="false" ht="15" hidden="false" customHeight="true" outlineLevel="0" collapsed="false">
      <c r="A122" s="18" t="s">
        <v>164</v>
      </c>
      <c r="B122" s="18" t="s">
        <v>286</v>
      </c>
      <c r="C122" s="18" t="n">
        <v>150</v>
      </c>
      <c r="D122" s="30" t="n">
        <v>761.2</v>
      </c>
      <c r="E122" s="18" t="n">
        <v>17</v>
      </c>
    </row>
    <row r="123" customFormat="false" ht="15" hidden="false" customHeight="true" outlineLevel="0" collapsed="false">
      <c r="A123" s="18" t="s">
        <v>164</v>
      </c>
      <c r="B123" s="18" t="s">
        <v>287</v>
      </c>
      <c r="C123" s="18" t="n">
        <v>82</v>
      </c>
      <c r="D123" s="30" t="n">
        <v>412.48</v>
      </c>
      <c r="E123" s="18" t="n">
        <v>18</v>
      </c>
    </row>
    <row r="124" customFormat="false" ht="15" hidden="false" customHeight="true" outlineLevel="0" collapsed="false">
      <c r="A124" s="18" t="s">
        <v>164</v>
      </c>
      <c r="B124" s="18" t="s">
        <v>288</v>
      </c>
      <c r="C124" s="18" t="n">
        <v>161</v>
      </c>
      <c r="D124" s="30" t="n">
        <v>776.66</v>
      </c>
      <c r="E124" s="18" t="n">
        <v>19</v>
      </c>
    </row>
    <row r="125" customFormat="false" ht="15" hidden="false" customHeight="true" outlineLevel="0" collapsed="false">
      <c r="A125" s="18" t="s">
        <v>164</v>
      </c>
      <c r="B125" s="18" t="s">
        <v>289</v>
      </c>
      <c r="C125" s="18" t="n">
        <v>163</v>
      </c>
      <c r="D125" s="30" t="n">
        <v>798.41</v>
      </c>
      <c r="E125" s="18" t="n">
        <v>20</v>
      </c>
    </row>
    <row r="126" customFormat="false" ht="15" hidden="false" customHeight="true" outlineLevel="0" collapsed="false">
      <c r="A126" s="18" t="s">
        <v>164</v>
      </c>
      <c r="B126" s="18" t="s">
        <v>290</v>
      </c>
      <c r="C126" s="18" t="n">
        <v>166</v>
      </c>
      <c r="D126" s="30" t="n">
        <v>830.92</v>
      </c>
      <c r="E126" s="18" t="n">
        <v>21</v>
      </c>
    </row>
    <row r="127" customFormat="false" ht="15" hidden="false" customHeight="true" outlineLevel="0" collapsed="false">
      <c r="A127" s="18" t="s">
        <v>164</v>
      </c>
      <c r="B127" s="18" t="s">
        <v>291</v>
      </c>
      <c r="C127" s="18" t="n">
        <v>126</v>
      </c>
      <c r="D127" s="30" t="n">
        <v>620.04</v>
      </c>
      <c r="E127" s="18" t="n">
        <v>22</v>
      </c>
    </row>
    <row r="128" customFormat="false" ht="15" hidden="false" customHeight="true" outlineLevel="0" collapsed="false">
      <c r="A128" s="18" t="s">
        <v>164</v>
      </c>
      <c r="B128" s="18" t="s">
        <v>292</v>
      </c>
      <c r="C128" s="18" t="n">
        <v>106</v>
      </c>
      <c r="D128" s="30" t="n">
        <v>512.58</v>
      </c>
      <c r="E128" s="18" t="n">
        <v>23</v>
      </c>
    </row>
    <row r="129" customFormat="false" ht="15" hidden="false" customHeight="true" outlineLevel="0" collapsed="false">
      <c r="A129" s="18" t="s">
        <v>164</v>
      </c>
      <c r="B129" s="18" t="s">
        <v>293</v>
      </c>
      <c r="C129" s="18" t="n">
        <v>105</v>
      </c>
      <c r="D129" s="30" t="n">
        <v>503.51</v>
      </c>
      <c r="E129" s="18" t="n">
        <v>24</v>
      </c>
    </row>
    <row r="130" customFormat="false" ht="15" hidden="false" customHeight="true" outlineLevel="0" collapsed="false">
      <c r="A130" s="18" t="s">
        <v>164</v>
      </c>
      <c r="B130" s="18" t="s">
        <v>294</v>
      </c>
      <c r="C130" s="18" t="n">
        <v>66</v>
      </c>
      <c r="D130" s="30" t="n">
        <v>321.32</v>
      </c>
      <c r="E130" s="18" t="n">
        <v>25</v>
      </c>
    </row>
    <row r="131" customFormat="false" ht="15" hidden="false" customHeight="true" outlineLevel="0" collapsed="false">
      <c r="A131" s="18" t="s">
        <v>164</v>
      </c>
      <c r="B131" s="18" t="s">
        <v>295</v>
      </c>
      <c r="C131" s="18" t="n">
        <v>108</v>
      </c>
      <c r="D131" s="30" t="n">
        <v>535.2</v>
      </c>
      <c r="E131" s="18" t="n">
        <v>26</v>
      </c>
    </row>
    <row r="132" customFormat="false" ht="15" hidden="false" customHeight="true" outlineLevel="0" collapsed="false">
      <c r="A132" s="18" t="s">
        <v>164</v>
      </c>
      <c r="B132" s="18" t="s">
        <v>296</v>
      </c>
      <c r="C132" s="18" t="n">
        <v>38</v>
      </c>
      <c r="D132" s="30" t="n">
        <v>182.67</v>
      </c>
      <c r="E132" s="18" t="n">
        <v>27</v>
      </c>
    </row>
    <row r="133" customFormat="false" ht="15" hidden="false" customHeight="true" outlineLevel="0" collapsed="false">
      <c r="A133" s="18" t="s">
        <v>164</v>
      </c>
      <c r="B133" s="18" t="s">
        <v>297</v>
      </c>
      <c r="C133" s="18" t="n">
        <v>68</v>
      </c>
      <c r="D133" s="30" t="n">
        <v>342.15</v>
      </c>
      <c r="E133" s="18" t="n">
        <v>28</v>
      </c>
    </row>
    <row r="134" customFormat="false" ht="15" hidden="false" customHeight="true" outlineLevel="0" collapsed="false">
      <c r="A134" s="18" t="s">
        <v>164</v>
      </c>
      <c r="B134" s="18" t="s">
        <v>298</v>
      </c>
      <c r="C134" s="18" t="n">
        <v>152</v>
      </c>
      <c r="D134" s="30" t="n">
        <v>756.07</v>
      </c>
      <c r="E134" s="18" t="n">
        <v>29</v>
      </c>
    </row>
    <row r="135" customFormat="false" ht="15" hidden="false" customHeight="true" outlineLevel="0" collapsed="false">
      <c r="A135" s="18" t="s">
        <v>164</v>
      </c>
      <c r="B135" s="18" t="s">
        <v>299</v>
      </c>
      <c r="C135" s="18" t="n">
        <v>134</v>
      </c>
      <c r="D135" s="30" t="n">
        <v>671.04</v>
      </c>
      <c r="E135" s="18" t="n">
        <v>30</v>
      </c>
    </row>
    <row r="136" customFormat="false" ht="15" hidden="false" customHeight="true" outlineLevel="0" collapsed="false">
      <c r="A136" s="18" t="s">
        <v>164</v>
      </c>
      <c r="B136" s="18" t="s">
        <v>300</v>
      </c>
      <c r="C136" s="18" t="n">
        <v>157</v>
      </c>
      <c r="D136" s="30" t="n">
        <v>767.82</v>
      </c>
      <c r="E136" s="18" t="n">
        <v>31</v>
      </c>
    </row>
    <row r="137" customFormat="false" ht="15" hidden="false" customHeight="true" outlineLevel="0" collapsed="false">
      <c r="A137" s="18" t="s">
        <v>164</v>
      </c>
      <c r="B137" s="18" t="s">
        <v>301</v>
      </c>
      <c r="C137" s="18" t="n">
        <v>183</v>
      </c>
      <c r="D137" s="30" t="n">
        <v>893.45</v>
      </c>
      <c r="E137" s="18" t="n">
        <v>32</v>
      </c>
    </row>
    <row r="138" customFormat="false" ht="15" hidden="false" customHeight="true" outlineLevel="0" collapsed="false">
      <c r="A138" s="18" t="s">
        <v>164</v>
      </c>
      <c r="B138" s="18" t="s">
        <v>302</v>
      </c>
      <c r="C138" s="18" t="n">
        <v>170</v>
      </c>
      <c r="D138" s="30" t="n">
        <v>837.22</v>
      </c>
      <c r="E138" s="18" t="n">
        <v>33</v>
      </c>
    </row>
    <row r="139" customFormat="false" ht="15" hidden="false" customHeight="true" outlineLevel="0" collapsed="false">
      <c r="A139" s="18" t="s">
        <v>164</v>
      </c>
      <c r="B139" s="18" t="s">
        <v>303</v>
      </c>
      <c r="C139" s="18" t="n">
        <v>166</v>
      </c>
      <c r="D139" s="30" t="n">
        <v>835.66</v>
      </c>
      <c r="E139" s="18" t="n">
        <v>34</v>
      </c>
    </row>
    <row r="140" customFormat="false" ht="15" hidden="false" customHeight="true" outlineLevel="0" collapsed="false">
      <c r="A140" s="18" t="s">
        <v>164</v>
      </c>
      <c r="B140" s="18" t="s">
        <v>304</v>
      </c>
      <c r="C140" s="18" t="n">
        <v>149</v>
      </c>
      <c r="D140" s="30" t="n">
        <v>752.62</v>
      </c>
      <c r="E140" s="18" t="n">
        <v>35</v>
      </c>
    </row>
    <row r="141" customFormat="false" ht="15" hidden="false" customHeight="true" outlineLevel="0" collapsed="false">
      <c r="A141" s="18" t="s">
        <v>164</v>
      </c>
      <c r="B141" s="18" t="s">
        <v>305</v>
      </c>
      <c r="C141" s="18" t="n">
        <v>117</v>
      </c>
      <c r="D141" s="30" t="n">
        <v>588.93</v>
      </c>
      <c r="E141" s="18" t="n">
        <v>36</v>
      </c>
    </row>
    <row r="142" customFormat="false" ht="15" hidden="false" customHeight="true" outlineLevel="0" collapsed="false">
      <c r="A142" s="18" t="s">
        <v>164</v>
      </c>
      <c r="B142" s="18" t="s">
        <v>306</v>
      </c>
      <c r="C142" s="18" t="n">
        <v>94</v>
      </c>
      <c r="D142" s="30" t="n">
        <v>463.39</v>
      </c>
      <c r="E142" s="18" t="n">
        <v>37</v>
      </c>
    </row>
    <row r="143" customFormat="false" ht="15" hidden="false" customHeight="true" outlineLevel="0" collapsed="false">
      <c r="A143" s="18" t="s">
        <v>164</v>
      </c>
      <c r="B143" s="18" t="s">
        <v>307</v>
      </c>
      <c r="C143" s="18" t="n">
        <v>124</v>
      </c>
      <c r="D143" s="30" t="n">
        <v>596.83</v>
      </c>
      <c r="E143" s="18" t="n">
        <v>38</v>
      </c>
    </row>
    <row r="144" customFormat="false" ht="15" hidden="false" customHeight="true" outlineLevel="0" collapsed="false">
      <c r="A144" s="18" t="s">
        <v>164</v>
      </c>
      <c r="B144" s="18" t="s">
        <v>308</v>
      </c>
      <c r="C144" s="18" t="n">
        <v>141</v>
      </c>
      <c r="D144" s="30" t="n">
        <v>712.54</v>
      </c>
      <c r="E144" s="18" t="n">
        <v>39</v>
      </c>
    </row>
    <row r="145" customFormat="false" ht="15" hidden="false" customHeight="true" outlineLevel="0" collapsed="false">
      <c r="A145" s="18" t="s">
        <v>164</v>
      </c>
      <c r="B145" s="18" t="s">
        <v>309</v>
      </c>
      <c r="C145" s="18" t="n">
        <v>143</v>
      </c>
      <c r="D145" s="30" t="n">
        <v>691.35</v>
      </c>
      <c r="E145" s="18" t="n">
        <v>40</v>
      </c>
    </row>
    <row r="146" customFormat="false" ht="15" hidden="false" customHeight="true" outlineLevel="0" collapsed="false">
      <c r="A146" s="18" t="s">
        <v>164</v>
      </c>
      <c r="B146" s="18" t="s">
        <v>310</v>
      </c>
      <c r="C146" s="18" t="n">
        <v>175</v>
      </c>
      <c r="D146" s="30" t="n">
        <v>846.79</v>
      </c>
      <c r="E146" s="18" t="n">
        <v>41</v>
      </c>
    </row>
    <row r="147" customFormat="false" ht="15" hidden="false" customHeight="true" outlineLevel="0" collapsed="false">
      <c r="A147" s="18" t="s">
        <v>164</v>
      </c>
      <c r="B147" s="18" t="s">
        <v>311</v>
      </c>
      <c r="C147" s="18" t="n">
        <v>128</v>
      </c>
      <c r="D147" s="30" t="n">
        <v>647.22</v>
      </c>
      <c r="E147" s="18" t="n">
        <v>42</v>
      </c>
    </row>
    <row r="148" customFormat="false" ht="15" hidden="false" customHeight="true" outlineLevel="0" collapsed="false">
      <c r="A148" s="18" t="s">
        <v>164</v>
      </c>
      <c r="B148" s="18" t="s">
        <v>312</v>
      </c>
      <c r="C148" s="18" t="n">
        <v>154</v>
      </c>
      <c r="D148" s="30" t="n">
        <v>750.45</v>
      </c>
      <c r="E148" s="18" t="n">
        <v>43</v>
      </c>
    </row>
    <row r="149" customFormat="false" ht="15" hidden="false" customHeight="true" outlineLevel="0" collapsed="false">
      <c r="A149" s="18" t="s">
        <v>164</v>
      </c>
      <c r="B149" s="18" t="s">
        <v>313</v>
      </c>
      <c r="C149" s="18" t="n">
        <v>73</v>
      </c>
      <c r="D149" s="30" t="n">
        <v>349.25</v>
      </c>
      <c r="E149" s="18" t="n">
        <v>44</v>
      </c>
    </row>
    <row r="150" customFormat="false" ht="15" hidden="false" customHeight="true" outlineLevel="0" collapsed="false">
      <c r="A150" s="18" t="s">
        <v>164</v>
      </c>
      <c r="B150" s="18" t="s">
        <v>314</v>
      </c>
      <c r="C150" s="18" t="n">
        <v>139</v>
      </c>
      <c r="D150" s="30" t="n">
        <v>693.62</v>
      </c>
      <c r="E150" s="18" t="n">
        <v>45</v>
      </c>
    </row>
    <row r="151" customFormat="false" ht="15" hidden="false" customHeight="true" outlineLevel="0" collapsed="false">
      <c r="A151" s="18" t="s">
        <v>164</v>
      </c>
      <c r="B151" s="18" t="s">
        <v>315</v>
      </c>
      <c r="C151" s="18" t="n">
        <v>135</v>
      </c>
      <c r="D151" s="30" t="n">
        <v>684.79</v>
      </c>
      <c r="E151" s="18" t="n">
        <v>46</v>
      </c>
    </row>
    <row r="152" customFormat="false" ht="15" hidden="false" customHeight="true" outlineLevel="0" collapsed="false">
      <c r="A152" s="18" t="s">
        <v>164</v>
      </c>
      <c r="B152" s="18" t="s">
        <v>316</v>
      </c>
      <c r="C152" s="18" t="n">
        <v>180</v>
      </c>
      <c r="D152" s="30" t="n">
        <v>886.2</v>
      </c>
      <c r="E152" s="18" t="n">
        <v>47</v>
      </c>
    </row>
    <row r="153" customFormat="false" ht="15" hidden="false" customHeight="true" outlineLevel="0" collapsed="false">
      <c r="A153" s="18" t="s">
        <v>164</v>
      </c>
      <c r="B153" s="18" t="s">
        <v>317</v>
      </c>
      <c r="C153" s="18" t="n">
        <v>120</v>
      </c>
      <c r="D153" s="30" t="n">
        <v>605.92</v>
      </c>
      <c r="E153" s="18" t="n">
        <v>48</v>
      </c>
    </row>
    <row r="154" customFormat="false" ht="15" hidden="false" customHeight="true" outlineLevel="0" collapsed="false">
      <c r="A154" s="18" t="s">
        <v>164</v>
      </c>
      <c r="B154" s="18" t="s">
        <v>318</v>
      </c>
      <c r="C154" s="18" t="n">
        <v>37</v>
      </c>
      <c r="D154" s="30" t="n">
        <v>187.48</v>
      </c>
      <c r="E154" s="18" t="n">
        <v>49</v>
      </c>
    </row>
    <row r="155" customFormat="false" ht="15" hidden="false" customHeight="true" outlineLevel="0" collapsed="false">
      <c r="A155" s="18" t="s">
        <v>164</v>
      </c>
      <c r="B155" s="18" t="s">
        <v>319</v>
      </c>
      <c r="C155" s="18" t="n">
        <v>124</v>
      </c>
      <c r="D155" s="30" t="n">
        <v>624.77</v>
      </c>
      <c r="E155" s="18" t="n">
        <v>50</v>
      </c>
    </row>
    <row r="156" customFormat="false" ht="15" hidden="false" customHeight="true" outlineLevel="0" collapsed="false">
      <c r="A156" s="18" t="s">
        <v>164</v>
      </c>
      <c r="B156" s="18" t="s">
        <v>320</v>
      </c>
      <c r="C156" s="18" t="n">
        <v>169</v>
      </c>
      <c r="D156" s="30" t="n">
        <v>844.79</v>
      </c>
      <c r="E156" s="18" t="n">
        <v>51</v>
      </c>
    </row>
    <row r="157" customFormat="false" ht="15" hidden="false" customHeight="true" outlineLevel="0" collapsed="false">
      <c r="A157" s="18" t="s">
        <v>164</v>
      </c>
      <c r="B157" s="18" t="s">
        <v>321</v>
      </c>
      <c r="C157" s="18" t="n">
        <v>93</v>
      </c>
      <c r="D157" s="30" t="n">
        <v>459.95</v>
      </c>
      <c r="E157" s="18" t="n">
        <v>52</v>
      </c>
    </row>
    <row r="158" customFormat="false" ht="15" hidden="false" customHeight="true" outlineLevel="0" collapsed="false">
      <c r="A158" s="18" t="s">
        <v>167</v>
      </c>
      <c r="B158" s="18" t="s">
        <v>309</v>
      </c>
      <c r="C158" s="18" t="n">
        <v>411</v>
      </c>
      <c r="D158" s="30" t="n">
        <v>2140.05</v>
      </c>
      <c r="E158" s="18" t="n">
        <v>1</v>
      </c>
    </row>
    <row r="159" customFormat="false" ht="15" hidden="false" customHeight="true" outlineLevel="0" collapsed="false">
      <c r="A159" s="18" t="s">
        <v>167</v>
      </c>
      <c r="B159" s="18" t="s">
        <v>310</v>
      </c>
      <c r="C159" s="18" t="n">
        <v>133</v>
      </c>
      <c r="D159" s="30" t="n">
        <v>666.89</v>
      </c>
      <c r="E159" s="18" t="n">
        <v>2</v>
      </c>
    </row>
    <row r="160" customFormat="false" ht="15" hidden="false" customHeight="true" outlineLevel="0" collapsed="false">
      <c r="A160" s="18" t="s">
        <v>167</v>
      </c>
      <c r="B160" s="18" t="s">
        <v>311</v>
      </c>
      <c r="C160" s="18" t="n">
        <v>30</v>
      </c>
      <c r="D160" s="30" t="n">
        <v>156.46</v>
      </c>
      <c r="E160" s="18" t="n">
        <v>3</v>
      </c>
    </row>
    <row r="161" customFormat="false" ht="15" hidden="false" customHeight="true" outlineLevel="0" collapsed="false">
      <c r="A161" s="18" t="s">
        <v>167</v>
      </c>
      <c r="B161" s="18" t="s">
        <v>312</v>
      </c>
      <c r="C161" s="18" t="n">
        <v>117</v>
      </c>
      <c r="D161" s="30" t="n">
        <v>617.7</v>
      </c>
      <c r="E161" s="18" t="n">
        <v>4</v>
      </c>
    </row>
    <row r="162" customFormat="false" ht="15" hidden="false" customHeight="true" outlineLevel="0" collapsed="false">
      <c r="A162" s="18" t="s">
        <v>167</v>
      </c>
      <c r="B162" s="18" t="s">
        <v>313</v>
      </c>
      <c r="C162" s="18" t="n">
        <v>203</v>
      </c>
      <c r="D162" s="30" t="n">
        <v>1071.25</v>
      </c>
      <c r="E162" s="18" t="n">
        <v>5</v>
      </c>
    </row>
    <row r="163" customFormat="false" ht="15" hidden="false" customHeight="true" outlineLevel="0" collapsed="false">
      <c r="A163" s="18" t="s">
        <v>167</v>
      </c>
      <c r="B163" s="18" t="s">
        <v>314</v>
      </c>
      <c r="C163" s="18" t="n">
        <v>232</v>
      </c>
      <c r="D163" s="30" t="n">
        <v>1211.13</v>
      </c>
      <c r="E163" s="18" t="n">
        <v>6</v>
      </c>
    </row>
    <row r="164" customFormat="false" ht="15" hidden="false" customHeight="true" outlineLevel="0" collapsed="false">
      <c r="A164" s="18" t="s">
        <v>167</v>
      </c>
      <c r="B164" s="18" t="s">
        <v>315</v>
      </c>
      <c r="C164" s="18" t="n">
        <v>317</v>
      </c>
      <c r="D164" s="30" t="n">
        <v>1631.62</v>
      </c>
      <c r="E164" s="18" t="n">
        <v>7</v>
      </c>
    </row>
    <row r="165" customFormat="false" ht="15" hidden="false" customHeight="true" outlineLevel="0" collapsed="false">
      <c r="A165" s="18" t="s">
        <v>167</v>
      </c>
      <c r="B165" s="18" t="s">
        <v>316</v>
      </c>
      <c r="C165" s="18" t="n">
        <v>102</v>
      </c>
      <c r="D165" s="30" t="n">
        <v>536.59</v>
      </c>
      <c r="E165" s="18" t="n">
        <v>8</v>
      </c>
    </row>
    <row r="166" customFormat="false" ht="15" hidden="false" customHeight="true" outlineLevel="0" collapsed="false">
      <c r="A166" s="18" t="s">
        <v>167</v>
      </c>
      <c r="B166" s="18" t="s">
        <v>317</v>
      </c>
      <c r="C166" s="18" t="n">
        <v>264</v>
      </c>
      <c r="D166" s="30" t="n">
        <v>1316.69</v>
      </c>
      <c r="E166" s="18" t="n">
        <v>9</v>
      </c>
    </row>
    <row r="167" customFormat="false" ht="15" hidden="false" customHeight="true" outlineLevel="0" collapsed="false">
      <c r="A167" s="18" t="s">
        <v>167</v>
      </c>
      <c r="B167" s="18" t="s">
        <v>319</v>
      </c>
      <c r="C167" s="18" t="n">
        <v>60</v>
      </c>
      <c r="D167" s="30" t="n">
        <v>311.04</v>
      </c>
      <c r="E167" s="18" t="n">
        <v>10</v>
      </c>
    </row>
    <row r="168" customFormat="false" ht="15" hidden="false" customHeight="true" outlineLevel="0" collapsed="false">
      <c r="A168" s="18" t="s">
        <v>167</v>
      </c>
      <c r="B168" s="18" t="s">
        <v>320</v>
      </c>
      <c r="C168" s="18" t="n">
        <v>14</v>
      </c>
      <c r="D168" s="30" t="n">
        <v>73</v>
      </c>
      <c r="E168" s="18" t="n">
        <v>11</v>
      </c>
    </row>
    <row r="169" customFormat="false" ht="15" hidden="false" customHeight="true" outlineLevel="0" collapsed="false">
      <c r="A169" s="18" t="s">
        <v>167</v>
      </c>
      <c r="B169" s="18" t="s">
        <v>321</v>
      </c>
      <c r="C169" s="18" t="n">
        <v>93</v>
      </c>
      <c r="D169" s="30" t="n">
        <v>483.94</v>
      </c>
      <c r="E169" s="18" t="n">
        <v>12</v>
      </c>
    </row>
    <row r="170" customFormat="false" ht="15" hidden="false" customHeight="true" outlineLevel="0" collapsed="false">
      <c r="A170" s="18" t="s">
        <v>171</v>
      </c>
      <c r="B170" s="18" t="s">
        <v>270</v>
      </c>
      <c r="C170" s="18" t="n">
        <v>170</v>
      </c>
      <c r="D170" s="30" t="n">
        <v>1126.58</v>
      </c>
      <c r="E170" s="18" t="n">
        <v>1</v>
      </c>
    </row>
    <row r="171" customFormat="false" ht="15" hidden="false" customHeight="true" outlineLevel="0" collapsed="false">
      <c r="A171" s="18" t="s">
        <v>171</v>
      </c>
      <c r="B171" s="18" t="s">
        <v>271</v>
      </c>
      <c r="C171" s="18" t="n">
        <v>193</v>
      </c>
      <c r="D171" s="30" t="n">
        <v>1332.21</v>
      </c>
      <c r="E171" s="18" t="n">
        <v>2</v>
      </c>
    </row>
    <row r="172" customFormat="false" ht="15" hidden="false" customHeight="true" outlineLevel="0" collapsed="false">
      <c r="A172" s="18" t="s">
        <v>171</v>
      </c>
      <c r="B172" s="18" t="s">
        <v>272</v>
      </c>
      <c r="C172" s="18" t="n">
        <v>204</v>
      </c>
      <c r="D172" s="30" t="n">
        <v>1385.07</v>
      </c>
      <c r="E172" s="18" t="n">
        <v>3</v>
      </c>
    </row>
    <row r="173" customFormat="false" ht="15" hidden="false" customHeight="true" outlineLevel="0" collapsed="false">
      <c r="A173" s="18" t="s">
        <v>171</v>
      </c>
      <c r="B173" s="18" t="s">
        <v>273</v>
      </c>
      <c r="C173" s="18" t="n">
        <v>190</v>
      </c>
      <c r="D173" s="30" t="n">
        <v>1311.06</v>
      </c>
      <c r="E173" s="18" t="n">
        <v>4</v>
      </c>
    </row>
    <row r="174" customFormat="false" ht="15" hidden="false" customHeight="true" outlineLevel="0" collapsed="false">
      <c r="A174" s="18" t="s">
        <v>171</v>
      </c>
      <c r="B174" s="18" t="s">
        <v>274</v>
      </c>
      <c r="C174" s="18" t="n">
        <v>179</v>
      </c>
      <c r="D174" s="30" t="n">
        <v>1248.45</v>
      </c>
      <c r="E174" s="18" t="n">
        <v>5</v>
      </c>
    </row>
    <row r="175" customFormat="false" ht="15" hidden="false" customHeight="true" outlineLevel="0" collapsed="false">
      <c r="A175" s="18" t="s">
        <v>171</v>
      </c>
      <c r="B175" s="18" t="s">
        <v>275</v>
      </c>
      <c r="C175" s="18" t="n">
        <v>248</v>
      </c>
      <c r="D175" s="30" t="n">
        <v>1729.75</v>
      </c>
      <c r="E175" s="18" t="n">
        <v>6</v>
      </c>
    </row>
    <row r="176" customFormat="false" ht="15" hidden="false" customHeight="true" outlineLevel="0" collapsed="false">
      <c r="A176" s="18" t="s">
        <v>171</v>
      </c>
      <c r="B176" s="18" t="s">
        <v>276</v>
      </c>
      <c r="C176" s="18" t="n">
        <v>199</v>
      </c>
      <c r="D176" s="30" t="n">
        <v>1366.54</v>
      </c>
      <c r="E176" s="18" t="n">
        <v>7</v>
      </c>
    </row>
    <row r="177" customFormat="false" ht="15" hidden="false" customHeight="true" outlineLevel="0" collapsed="false">
      <c r="A177" s="18" t="s">
        <v>171</v>
      </c>
      <c r="B177" s="18" t="s">
        <v>277</v>
      </c>
      <c r="C177" s="18" t="n">
        <v>201</v>
      </c>
      <c r="D177" s="30" t="n">
        <v>1354.28</v>
      </c>
      <c r="E177" s="18" t="n">
        <v>8</v>
      </c>
    </row>
    <row r="178" customFormat="false" ht="15" hidden="false" customHeight="true" outlineLevel="0" collapsed="false">
      <c r="A178" s="18" t="s">
        <v>171</v>
      </c>
      <c r="B178" s="18" t="s">
        <v>278</v>
      </c>
      <c r="C178" s="18" t="n">
        <v>203</v>
      </c>
      <c r="D178" s="30" t="n">
        <v>1360.5</v>
      </c>
      <c r="E178" s="18" t="n">
        <v>9</v>
      </c>
    </row>
    <row r="179" customFormat="false" ht="15" hidden="false" customHeight="true" outlineLevel="0" collapsed="false">
      <c r="A179" s="18" t="s">
        <v>171</v>
      </c>
      <c r="B179" s="18" t="s">
        <v>279</v>
      </c>
      <c r="C179" s="18" t="n">
        <v>218</v>
      </c>
      <c r="D179" s="30" t="n">
        <v>1474.82</v>
      </c>
      <c r="E179" s="18" t="n">
        <v>10</v>
      </c>
    </row>
    <row r="180" customFormat="false" ht="15" hidden="false" customHeight="true" outlineLevel="0" collapsed="false">
      <c r="A180" s="18" t="s">
        <v>171</v>
      </c>
      <c r="B180" s="18" t="s">
        <v>280</v>
      </c>
      <c r="C180" s="18" t="n">
        <v>163</v>
      </c>
      <c r="D180" s="30" t="n">
        <v>1133.83</v>
      </c>
      <c r="E180" s="18" t="n">
        <v>11</v>
      </c>
    </row>
    <row r="181" customFormat="false" ht="15" hidden="false" customHeight="true" outlineLevel="0" collapsed="false">
      <c r="A181" s="18" t="s">
        <v>171</v>
      </c>
      <c r="B181" s="18" t="s">
        <v>281</v>
      </c>
      <c r="C181" s="18" t="n">
        <v>240</v>
      </c>
      <c r="D181" s="30" t="n">
        <v>1619.17</v>
      </c>
      <c r="E181" s="18" t="n">
        <v>12</v>
      </c>
    </row>
    <row r="182" customFormat="false" ht="15" hidden="false" customHeight="true" outlineLevel="0" collapsed="false">
      <c r="A182" s="18" t="s">
        <v>171</v>
      </c>
      <c r="B182" s="18" t="s">
        <v>282</v>
      </c>
      <c r="C182" s="18" t="n">
        <v>178</v>
      </c>
      <c r="D182" s="30" t="n">
        <v>1189.25</v>
      </c>
      <c r="E182" s="18" t="n">
        <v>13</v>
      </c>
    </row>
    <row r="183" customFormat="false" ht="15" hidden="false" customHeight="true" outlineLevel="0" collapsed="false">
      <c r="A183" s="18" t="s">
        <v>171</v>
      </c>
      <c r="B183" s="18" t="s">
        <v>283</v>
      </c>
      <c r="C183" s="18" t="n">
        <v>191</v>
      </c>
      <c r="D183" s="30" t="n">
        <v>1343.48</v>
      </c>
      <c r="E183" s="18" t="n">
        <v>14</v>
      </c>
    </row>
    <row r="184" customFormat="false" ht="15" hidden="false" customHeight="true" outlineLevel="0" collapsed="false">
      <c r="A184" s="18" t="s">
        <v>171</v>
      </c>
      <c r="B184" s="18" t="s">
        <v>284</v>
      </c>
      <c r="C184" s="18" t="n">
        <v>144</v>
      </c>
      <c r="D184" s="30" t="n">
        <v>989.14</v>
      </c>
      <c r="E184" s="18" t="n">
        <v>15</v>
      </c>
    </row>
    <row r="185" customFormat="false" ht="15" hidden="false" customHeight="true" outlineLevel="0" collapsed="false">
      <c r="A185" s="18" t="s">
        <v>171</v>
      </c>
      <c r="B185" s="18" t="s">
        <v>285</v>
      </c>
      <c r="C185" s="18" t="n">
        <v>166</v>
      </c>
      <c r="D185" s="30" t="n">
        <v>1162.03</v>
      </c>
      <c r="E185" s="18" t="n">
        <v>16</v>
      </c>
    </row>
    <row r="186" customFormat="false" ht="15" hidden="false" customHeight="true" outlineLevel="0" collapsed="false">
      <c r="A186" s="18" t="s">
        <v>171</v>
      </c>
      <c r="B186" s="18" t="s">
        <v>286</v>
      </c>
      <c r="C186" s="18" t="n">
        <v>192</v>
      </c>
      <c r="D186" s="30" t="n">
        <v>1282.59</v>
      </c>
      <c r="E186" s="18" t="n">
        <v>17</v>
      </c>
    </row>
    <row r="187" customFormat="false" ht="15" hidden="false" customHeight="true" outlineLevel="0" collapsed="false">
      <c r="A187" s="18" t="s">
        <v>171</v>
      </c>
      <c r="B187" s="18" t="s">
        <v>287</v>
      </c>
      <c r="C187" s="18" t="n">
        <v>182</v>
      </c>
      <c r="D187" s="30" t="n">
        <v>1210.78</v>
      </c>
      <c r="E187" s="18" t="n">
        <v>18</v>
      </c>
    </row>
    <row r="188" customFormat="false" ht="15" hidden="false" customHeight="true" outlineLevel="0" collapsed="false">
      <c r="A188" s="18" t="s">
        <v>171</v>
      </c>
      <c r="B188" s="18" t="s">
        <v>288</v>
      </c>
      <c r="C188" s="18" t="n">
        <v>159</v>
      </c>
      <c r="D188" s="30" t="n">
        <v>1054.54</v>
      </c>
      <c r="E188" s="18" t="n">
        <v>19</v>
      </c>
    </row>
    <row r="189" customFormat="false" ht="15" hidden="false" customHeight="true" outlineLevel="0" collapsed="false">
      <c r="A189" s="18" t="s">
        <v>171</v>
      </c>
      <c r="B189" s="18" t="s">
        <v>289</v>
      </c>
      <c r="C189" s="18" t="n">
        <v>131</v>
      </c>
      <c r="D189" s="30" t="n">
        <v>901.95</v>
      </c>
      <c r="E189" s="18" t="n">
        <v>20</v>
      </c>
    </row>
    <row r="190" customFormat="false" ht="15" hidden="false" customHeight="true" outlineLevel="0" collapsed="false">
      <c r="A190" s="18" t="s">
        <v>171</v>
      </c>
      <c r="B190" s="18" t="s">
        <v>290</v>
      </c>
      <c r="C190" s="18" t="n">
        <v>168</v>
      </c>
      <c r="D190" s="30" t="n">
        <v>1141.96</v>
      </c>
      <c r="E190" s="18" t="n">
        <v>21</v>
      </c>
    </row>
    <row r="191" customFormat="false" ht="15" hidden="false" customHeight="true" outlineLevel="0" collapsed="false">
      <c r="A191" s="18" t="s">
        <v>171</v>
      </c>
      <c r="B191" s="18" t="s">
        <v>291</v>
      </c>
      <c r="C191" s="18" t="n">
        <v>118</v>
      </c>
      <c r="D191" s="30" t="n">
        <v>818.12</v>
      </c>
      <c r="E191" s="18" t="n">
        <v>22</v>
      </c>
    </row>
    <row r="192" customFormat="false" ht="15" hidden="false" customHeight="true" outlineLevel="0" collapsed="false">
      <c r="A192" s="18" t="s">
        <v>171</v>
      </c>
      <c r="B192" s="18" t="s">
        <v>292</v>
      </c>
      <c r="C192" s="18" t="n">
        <v>135</v>
      </c>
      <c r="D192" s="30" t="n">
        <v>910.13</v>
      </c>
      <c r="E192" s="18" t="n">
        <v>23</v>
      </c>
    </row>
    <row r="193" customFormat="false" ht="15" hidden="false" customHeight="true" outlineLevel="0" collapsed="false">
      <c r="A193" s="18" t="s">
        <v>171</v>
      </c>
      <c r="B193" s="18" t="s">
        <v>293</v>
      </c>
      <c r="C193" s="18" t="n">
        <v>155</v>
      </c>
      <c r="D193" s="30" t="n">
        <v>1041.82</v>
      </c>
      <c r="E193" s="18" t="n">
        <v>24</v>
      </c>
    </row>
    <row r="194" customFormat="false" ht="15" hidden="false" customHeight="true" outlineLevel="0" collapsed="false">
      <c r="A194" s="18" t="s">
        <v>171</v>
      </c>
      <c r="B194" s="18" t="s">
        <v>294</v>
      </c>
      <c r="C194" s="18" t="n">
        <v>131</v>
      </c>
      <c r="D194" s="30" t="n">
        <v>916.69</v>
      </c>
      <c r="E194" s="18" t="n">
        <v>25</v>
      </c>
    </row>
    <row r="195" customFormat="false" ht="15" hidden="false" customHeight="true" outlineLevel="0" collapsed="false">
      <c r="A195" s="18" t="s">
        <v>171</v>
      </c>
      <c r="B195" s="18" t="s">
        <v>295</v>
      </c>
      <c r="C195" s="18" t="n">
        <v>158</v>
      </c>
      <c r="D195" s="30" t="n">
        <v>1094.83</v>
      </c>
      <c r="E195" s="18" t="n">
        <v>26</v>
      </c>
    </row>
    <row r="196" customFormat="false" ht="15" hidden="false" customHeight="true" outlineLevel="0" collapsed="false">
      <c r="A196" s="18" t="s">
        <v>171</v>
      </c>
      <c r="B196" s="18" t="s">
        <v>296</v>
      </c>
      <c r="C196" s="18" t="n">
        <v>193</v>
      </c>
      <c r="D196" s="30" t="n">
        <v>1330.33</v>
      </c>
      <c r="E196" s="18" t="n">
        <v>27</v>
      </c>
    </row>
    <row r="197" customFormat="false" ht="15" hidden="false" customHeight="true" outlineLevel="0" collapsed="false">
      <c r="A197" s="18" t="s">
        <v>171</v>
      </c>
      <c r="B197" s="18" t="s">
        <v>297</v>
      </c>
      <c r="C197" s="18" t="n">
        <v>168</v>
      </c>
      <c r="D197" s="30" t="n">
        <v>1129.63</v>
      </c>
      <c r="E197" s="18" t="n">
        <v>28</v>
      </c>
    </row>
    <row r="198" customFormat="false" ht="15" hidden="false" customHeight="true" outlineLevel="0" collapsed="false">
      <c r="A198" s="18" t="s">
        <v>171</v>
      </c>
      <c r="B198" s="18" t="s">
        <v>298</v>
      </c>
      <c r="C198" s="18" t="n">
        <v>209</v>
      </c>
      <c r="D198" s="30" t="n">
        <v>1397.96</v>
      </c>
      <c r="E198" s="18" t="n">
        <v>29</v>
      </c>
    </row>
    <row r="199" customFormat="false" ht="15" hidden="false" customHeight="true" outlineLevel="0" collapsed="false">
      <c r="A199" s="18" t="s">
        <v>171</v>
      </c>
      <c r="B199" s="18" t="s">
        <v>299</v>
      </c>
      <c r="C199" s="18" t="n">
        <v>252</v>
      </c>
      <c r="D199" s="30" t="n">
        <v>1727.51</v>
      </c>
      <c r="E199" s="18" t="n">
        <v>30</v>
      </c>
    </row>
    <row r="200" customFormat="false" ht="15" hidden="false" customHeight="true" outlineLevel="0" collapsed="false">
      <c r="A200" s="18" t="s">
        <v>171</v>
      </c>
      <c r="B200" s="18" t="s">
        <v>300</v>
      </c>
      <c r="C200" s="18" t="n">
        <v>210</v>
      </c>
      <c r="D200" s="30" t="n">
        <v>1458.73</v>
      </c>
      <c r="E200" s="18" t="n">
        <v>31</v>
      </c>
    </row>
    <row r="201" customFormat="false" ht="15" hidden="false" customHeight="true" outlineLevel="0" collapsed="false">
      <c r="A201" s="18" t="s">
        <v>171</v>
      </c>
      <c r="B201" s="18" t="s">
        <v>301</v>
      </c>
      <c r="C201" s="18" t="n">
        <v>224</v>
      </c>
      <c r="D201" s="30" t="n">
        <v>1527.74</v>
      </c>
      <c r="E201" s="18" t="n">
        <v>32</v>
      </c>
    </row>
    <row r="202" customFormat="false" ht="15" hidden="false" customHeight="true" outlineLevel="0" collapsed="false">
      <c r="A202" s="18" t="s">
        <v>171</v>
      </c>
      <c r="B202" s="18" t="s">
        <v>302</v>
      </c>
      <c r="C202" s="18" t="n">
        <v>237</v>
      </c>
      <c r="D202" s="30" t="n">
        <v>1635.67</v>
      </c>
      <c r="E202" s="18" t="n">
        <v>33</v>
      </c>
    </row>
    <row r="203" customFormat="false" ht="15" hidden="false" customHeight="true" outlineLevel="0" collapsed="false">
      <c r="A203" s="18" t="s">
        <v>171</v>
      </c>
      <c r="B203" s="18" t="s">
        <v>303</v>
      </c>
      <c r="C203" s="18" t="n">
        <v>195</v>
      </c>
      <c r="D203" s="30" t="n">
        <v>1306.69</v>
      </c>
      <c r="E203" s="18" t="n">
        <v>34</v>
      </c>
    </row>
    <row r="204" customFormat="false" ht="15" hidden="false" customHeight="true" outlineLevel="0" collapsed="false">
      <c r="A204" s="18" t="s">
        <v>171</v>
      </c>
      <c r="B204" s="18" t="s">
        <v>304</v>
      </c>
      <c r="C204" s="18" t="n">
        <v>223</v>
      </c>
      <c r="D204" s="30" t="n">
        <v>1486.71</v>
      </c>
      <c r="E204" s="18" t="n">
        <v>35</v>
      </c>
    </row>
    <row r="205" customFormat="false" ht="15" hidden="false" customHeight="true" outlineLevel="0" collapsed="false">
      <c r="A205" s="18" t="s">
        <v>171</v>
      </c>
      <c r="B205" s="18" t="s">
        <v>305</v>
      </c>
      <c r="C205" s="18" t="n">
        <v>189</v>
      </c>
      <c r="D205" s="30" t="n">
        <v>1326.14</v>
      </c>
      <c r="E205" s="18" t="n">
        <v>36</v>
      </c>
    </row>
    <row r="206" customFormat="false" ht="15" hidden="false" customHeight="true" outlineLevel="0" collapsed="false">
      <c r="A206" s="18" t="s">
        <v>171</v>
      </c>
      <c r="B206" s="18" t="s">
        <v>306</v>
      </c>
      <c r="C206" s="18" t="n">
        <v>203</v>
      </c>
      <c r="D206" s="30" t="n">
        <v>1380.91</v>
      </c>
      <c r="E206" s="18" t="n">
        <v>37</v>
      </c>
    </row>
    <row r="207" customFormat="false" ht="15" hidden="false" customHeight="true" outlineLevel="0" collapsed="false">
      <c r="A207" s="18" t="s">
        <v>171</v>
      </c>
      <c r="B207" s="18" t="s">
        <v>307</v>
      </c>
      <c r="C207" s="18" t="n">
        <v>211</v>
      </c>
      <c r="D207" s="30" t="n">
        <v>1480.89</v>
      </c>
      <c r="E207" s="18" t="n">
        <v>38</v>
      </c>
    </row>
    <row r="208" customFormat="false" ht="15" hidden="false" customHeight="true" outlineLevel="0" collapsed="false">
      <c r="A208" s="18" t="s">
        <v>171</v>
      </c>
      <c r="B208" s="18" t="s">
        <v>308</v>
      </c>
      <c r="C208" s="18" t="n">
        <v>164</v>
      </c>
      <c r="D208" s="30" t="n">
        <v>1089.28</v>
      </c>
      <c r="E208" s="18" t="n">
        <v>39</v>
      </c>
    </row>
    <row r="209" customFormat="false" ht="15" hidden="false" customHeight="true" outlineLevel="0" collapsed="false">
      <c r="A209" s="18" t="s">
        <v>171</v>
      </c>
      <c r="B209" s="18" t="s">
        <v>309</v>
      </c>
      <c r="C209" s="18" t="n">
        <v>126</v>
      </c>
      <c r="D209" s="30" t="n">
        <v>838.15</v>
      </c>
      <c r="E209" s="18" t="n">
        <v>40</v>
      </c>
    </row>
    <row r="210" customFormat="false" ht="15" hidden="false" customHeight="true" outlineLevel="0" collapsed="false">
      <c r="A210" s="18" t="s">
        <v>171</v>
      </c>
      <c r="B210" s="18" t="s">
        <v>310</v>
      </c>
      <c r="C210" s="18" t="n">
        <v>149</v>
      </c>
      <c r="D210" s="30" t="n">
        <v>1018.65</v>
      </c>
      <c r="E210" s="18" t="n">
        <v>41</v>
      </c>
    </row>
    <row r="211" customFormat="false" ht="15" hidden="false" customHeight="true" outlineLevel="0" collapsed="false">
      <c r="A211" s="18" t="s">
        <v>171</v>
      </c>
      <c r="B211" s="18" t="s">
        <v>311</v>
      </c>
      <c r="C211" s="18" t="n">
        <v>182</v>
      </c>
      <c r="D211" s="30" t="n">
        <v>1209.57</v>
      </c>
      <c r="E211" s="18" t="n">
        <v>42</v>
      </c>
    </row>
    <row r="212" customFormat="false" ht="15" hidden="false" customHeight="true" outlineLevel="0" collapsed="false">
      <c r="A212" s="18" t="s">
        <v>171</v>
      </c>
      <c r="B212" s="18" t="s">
        <v>312</v>
      </c>
      <c r="C212" s="18" t="n">
        <v>135</v>
      </c>
      <c r="D212" s="30" t="n">
        <v>915.66</v>
      </c>
      <c r="E212" s="18" t="n">
        <v>43</v>
      </c>
    </row>
    <row r="213" customFormat="false" ht="15" hidden="false" customHeight="true" outlineLevel="0" collapsed="false">
      <c r="A213" s="18" t="s">
        <v>171</v>
      </c>
      <c r="B213" s="18" t="s">
        <v>313</v>
      </c>
      <c r="C213" s="18" t="n">
        <v>168</v>
      </c>
      <c r="D213" s="30" t="n">
        <v>1161.08</v>
      </c>
      <c r="E213" s="18" t="n">
        <v>44</v>
      </c>
    </row>
    <row r="214" customFormat="false" ht="15" hidden="false" customHeight="true" outlineLevel="0" collapsed="false">
      <c r="A214" s="18" t="s">
        <v>171</v>
      </c>
      <c r="B214" s="18" t="s">
        <v>314</v>
      </c>
      <c r="C214" s="18" t="n">
        <v>130</v>
      </c>
      <c r="D214" s="30" t="n">
        <v>877.36</v>
      </c>
      <c r="E214" s="18" t="n">
        <v>45</v>
      </c>
    </row>
    <row r="215" customFormat="false" ht="15" hidden="false" customHeight="true" outlineLevel="0" collapsed="false">
      <c r="A215" s="18" t="s">
        <v>171</v>
      </c>
      <c r="B215" s="18" t="s">
        <v>315</v>
      </c>
      <c r="C215" s="18" t="n">
        <v>140</v>
      </c>
      <c r="D215" s="30" t="n">
        <v>951.42</v>
      </c>
      <c r="E215" s="18" t="n">
        <v>46</v>
      </c>
    </row>
    <row r="216" customFormat="false" ht="15" hidden="false" customHeight="true" outlineLevel="0" collapsed="false">
      <c r="A216" s="18" t="s">
        <v>171</v>
      </c>
      <c r="B216" s="18" t="s">
        <v>316</v>
      </c>
      <c r="C216" s="18" t="n">
        <v>144</v>
      </c>
      <c r="D216" s="30" t="n">
        <v>960.63</v>
      </c>
      <c r="E216" s="18" t="n">
        <v>47</v>
      </c>
    </row>
    <row r="217" customFormat="false" ht="15" hidden="false" customHeight="true" outlineLevel="0" collapsed="false">
      <c r="A217" s="18" t="s">
        <v>171</v>
      </c>
      <c r="B217" s="18" t="s">
        <v>317</v>
      </c>
      <c r="C217" s="18" t="n">
        <v>127</v>
      </c>
      <c r="D217" s="30" t="n">
        <v>841.45</v>
      </c>
      <c r="E217" s="18" t="n">
        <v>48</v>
      </c>
    </row>
    <row r="218" customFormat="false" ht="15" hidden="false" customHeight="true" outlineLevel="0" collapsed="false">
      <c r="A218" s="18" t="s">
        <v>171</v>
      </c>
      <c r="B218" s="18" t="s">
        <v>318</v>
      </c>
      <c r="C218" s="18" t="n">
        <v>145</v>
      </c>
      <c r="D218" s="30" t="n">
        <v>989.73</v>
      </c>
      <c r="E218" s="18" t="n">
        <v>49</v>
      </c>
    </row>
    <row r="219" customFormat="false" ht="15" hidden="false" customHeight="true" outlineLevel="0" collapsed="false">
      <c r="A219" s="18" t="s">
        <v>171</v>
      </c>
      <c r="B219" s="18" t="s">
        <v>319</v>
      </c>
      <c r="C219" s="18" t="n">
        <v>125</v>
      </c>
      <c r="D219" s="30" t="n">
        <v>850.23</v>
      </c>
      <c r="E219" s="18" t="n">
        <v>50</v>
      </c>
    </row>
    <row r="220" customFormat="false" ht="15" hidden="false" customHeight="true" outlineLevel="0" collapsed="false">
      <c r="A220" s="18" t="s">
        <v>171</v>
      </c>
      <c r="B220" s="18" t="s">
        <v>320</v>
      </c>
      <c r="C220" s="18" t="n">
        <v>153</v>
      </c>
      <c r="D220" s="30" t="n">
        <v>1066.38</v>
      </c>
      <c r="E220" s="18" t="n">
        <v>51</v>
      </c>
    </row>
    <row r="221" customFormat="false" ht="15" hidden="false" customHeight="true" outlineLevel="0" collapsed="false">
      <c r="A221" s="18" t="s">
        <v>171</v>
      </c>
      <c r="B221" s="18" t="s">
        <v>321</v>
      </c>
      <c r="C221" s="18" t="n">
        <v>164</v>
      </c>
      <c r="D221" s="30" t="n">
        <v>1108.19</v>
      </c>
      <c r="E221" s="18" t="n">
        <v>52</v>
      </c>
    </row>
    <row r="222" customFormat="false" ht="15" hidden="false" customHeight="true" outlineLevel="0" collapsed="false">
      <c r="A222" s="18" t="s">
        <v>173</v>
      </c>
      <c r="B222" s="18" t="s">
        <v>270</v>
      </c>
      <c r="C222" s="18" t="n">
        <v>70</v>
      </c>
      <c r="D222" s="30" t="n">
        <v>351.14</v>
      </c>
      <c r="E222" s="18" t="n">
        <v>1</v>
      </c>
    </row>
    <row r="223" customFormat="false" ht="15" hidden="false" customHeight="true" outlineLevel="0" collapsed="false">
      <c r="A223" s="18" t="s">
        <v>173</v>
      </c>
      <c r="B223" s="18" t="s">
        <v>271</v>
      </c>
      <c r="C223" s="18" t="n">
        <v>44</v>
      </c>
      <c r="D223" s="30" t="n">
        <v>214.65</v>
      </c>
      <c r="E223" s="18" t="n">
        <v>2</v>
      </c>
    </row>
    <row r="224" customFormat="false" ht="15" hidden="false" customHeight="true" outlineLevel="0" collapsed="false">
      <c r="A224" s="18" t="s">
        <v>173</v>
      </c>
      <c r="B224" s="18" t="s">
        <v>272</v>
      </c>
      <c r="C224" s="18" t="n">
        <v>77</v>
      </c>
      <c r="D224" s="30" t="n">
        <v>368.63</v>
      </c>
      <c r="E224" s="18" t="n">
        <v>3</v>
      </c>
    </row>
    <row r="225" customFormat="false" ht="15" hidden="false" customHeight="true" outlineLevel="0" collapsed="false">
      <c r="A225" s="18" t="s">
        <v>173</v>
      </c>
      <c r="B225" s="18" t="s">
        <v>273</v>
      </c>
      <c r="C225" s="18" t="n">
        <v>81</v>
      </c>
      <c r="D225" s="30" t="n">
        <v>387.49</v>
      </c>
      <c r="E225" s="18" t="n">
        <v>4</v>
      </c>
    </row>
    <row r="226" customFormat="false" ht="15" hidden="false" customHeight="true" outlineLevel="0" collapsed="false">
      <c r="A226" s="18" t="s">
        <v>173</v>
      </c>
      <c r="B226" s="18" t="s">
        <v>274</v>
      </c>
      <c r="C226" s="18" t="n">
        <v>77</v>
      </c>
      <c r="D226" s="30" t="n">
        <v>365.44</v>
      </c>
      <c r="E226" s="18" t="n">
        <v>5</v>
      </c>
    </row>
    <row r="227" customFormat="false" ht="15" hidden="false" customHeight="true" outlineLevel="0" collapsed="false">
      <c r="A227" s="18" t="s">
        <v>173</v>
      </c>
      <c r="B227" s="18" t="s">
        <v>275</v>
      </c>
      <c r="C227" s="18" t="n">
        <v>89</v>
      </c>
      <c r="D227" s="30" t="n">
        <v>422.97</v>
      </c>
      <c r="E227" s="18" t="n">
        <v>6</v>
      </c>
    </row>
    <row r="228" customFormat="false" ht="15" hidden="false" customHeight="true" outlineLevel="0" collapsed="false">
      <c r="A228" s="18" t="s">
        <v>173</v>
      </c>
      <c r="B228" s="18" t="s">
        <v>276</v>
      </c>
      <c r="C228" s="18" t="n">
        <v>37</v>
      </c>
      <c r="D228" s="30" t="n">
        <v>182.23</v>
      </c>
      <c r="E228" s="18" t="n">
        <v>7</v>
      </c>
    </row>
    <row r="229" customFormat="false" ht="15" hidden="false" customHeight="true" outlineLevel="0" collapsed="false">
      <c r="A229" s="18" t="s">
        <v>173</v>
      </c>
      <c r="B229" s="18" t="s">
        <v>277</v>
      </c>
      <c r="C229" s="18" t="n">
        <v>95</v>
      </c>
      <c r="D229" s="30" t="n">
        <v>466.48</v>
      </c>
      <c r="E229" s="18" t="n">
        <v>8</v>
      </c>
    </row>
    <row r="230" customFormat="false" ht="15" hidden="false" customHeight="true" outlineLevel="0" collapsed="false">
      <c r="A230" s="18" t="s">
        <v>173</v>
      </c>
      <c r="B230" s="18" t="s">
        <v>278</v>
      </c>
      <c r="C230" s="18" t="n">
        <v>50</v>
      </c>
      <c r="D230" s="30" t="n">
        <v>249.63</v>
      </c>
      <c r="E230" s="18" t="n">
        <v>9</v>
      </c>
    </row>
    <row r="231" customFormat="false" ht="15" hidden="false" customHeight="true" outlineLevel="0" collapsed="false">
      <c r="A231" s="18" t="s">
        <v>173</v>
      </c>
      <c r="B231" s="18" t="s">
        <v>279</v>
      </c>
      <c r="C231" s="18" t="n">
        <v>74</v>
      </c>
      <c r="D231" s="30" t="n">
        <v>369.53</v>
      </c>
      <c r="E231" s="18" t="n">
        <v>10</v>
      </c>
    </row>
    <row r="232" customFormat="false" ht="15" hidden="false" customHeight="true" outlineLevel="0" collapsed="false">
      <c r="A232" s="18" t="s">
        <v>173</v>
      </c>
      <c r="B232" s="18" t="s">
        <v>280</v>
      </c>
      <c r="C232" s="18" t="n">
        <v>110</v>
      </c>
      <c r="D232" s="30" t="n">
        <v>527.02</v>
      </c>
      <c r="E232" s="18" t="n">
        <v>11</v>
      </c>
    </row>
    <row r="233" customFormat="false" ht="15" hidden="false" customHeight="true" outlineLevel="0" collapsed="false">
      <c r="A233" s="18" t="s">
        <v>173</v>
      </c>
      <c r="B233" s="18" t="s">
        <v>281</v>
      </c>
      <c r="C233" s="18" t="n">
        <v>63</v>
      </c>
      <c r="D233" s="30" t="n">
        <v>314.64</v>
      </c>
      <c r="E233" s="18" t="n">
        <v>12</v>
      </c>
    </row>
    <row r="234" customFormat="false" ht="15" hidden="false" customHeight="true" outlineLevel="0" collapsed="false">
      <c r="A234" s="18" t="s">
        <v>173</v>
      </c>
      <c r="B234" s="18" t="s">
        <v>282</v>
      </c>
      <c r="C234" s="18" t="n">
        <v>69</v>
      </c>
      <c r="D234" s="30" t="n">
        <v>345.89</v>
      </c>
      <c r="E234" s="18" t="n">
        <v>13</v>
      </c>
    </row>
    <row r="235" customFormat="false" ht="15" hidden="false" customHeight="true" outlineLevel="0" collapsed="false">
      <c r="A235" s="18" t="s">
        <v>173</v>
      </c>
      <c r="B235" s="18" t="s">
        <v>283</v>
      </c>
      <c r="C235" s="18" t="n">
        <v>47</v>
      </c>
      <c r="D235" s="30" t="n">
        <v>231.26</v>
      </c>
      <c r="E235" s="18" t="n">
        <v>14</v>
      </c>
    </row>
    <row r="236" customFormat="false" ht="15" hidden="false" customHeight="true" outlineLevel="0" collapsed="false">
      <c r="A236" s="18" t="s">
        <v>173</v>
      </c>
      <c r="B236" s="18" t="s">
        <v>284</v>
      </c>
      <c r="C236" s="18" t="n">
        <v>102</v>
      </c>
      <c r="D236" s="30" t="n">
        <v>494.64</v>
      </c>
      <c r="E236" s="18" t="n">
        <v>15</v>
      </c>
    </row>
    <row r="237" customFormat="false" ht="15" hidden="false" customHeight="true" outlineLevel="0" collapsed="false">
      <c r="A237" s="18" t="s">
        <v>173</v>
      </c>
      <c r="B237" s="18" t="s">
        <v>285</v>
      </c>
      <c r="C237" s="18" t="n">
        <v>47</v>
      </c>
      <c r="D237" s="30" t="n">
        <v>227.33</v>
      </c>
      <c r="E237" s="18" t="n">
        <v>16</v>
      </c>
    </row>
    <row r="238" customFormat="false" ht="15" hidden="false" customHeight="true" outlineLevel="0" collapsed="false">
      <c r="A238" s="18" t="s">
        <v>173</v>
      </c>
      <c r="B238" s="18" t="s">
        <v>286</v>
      </c>
      <c r="C238" s="18" t="n">
        <v>77</v>
      </c>
      <c r="D238" s="30" t="n">
        <v>378.81</v>
      </c>
      <c r="E238" s="18" t="n">
        <v>17</v>
      </c>
    </row>
    <row r="239" customFormat="false" ht="15" hidden="false" customHeight="true" outlineLevel="0" collapsed="false">
      <c r="A239" s="18" t="s">
        <v>173</v>
      </c>
      <c r="B239" s="18" t="s">
        <v>287</v>
      </c>
      <c r="C239" s="18" t="n">
        <v>87</v>
      </c>
      <c r="D239" s="30" t="n">
        <v>423.24</v>
      </c>
      <c r="E239" s="18" t="n">
        <v>18</v>
      </c>
    </row>
    <row r="240" customFormat="false" ht="15" hidden="false" customHeight="true" outlineLevel="0" collapsed="false">
      <c r="A240" s="18" t="s">
        <v>173</v>
      </c>
      <c r="B240" s="18" t="s">
        <v>288</v>
      </c>
      <c r="C240" s="18" t="n">
        <v>77</v>
      </c>
      <c r="D240" s="30" t="n">
        <v>367</v>
      </c>
      <c r="E240" s="18" t="n">
        <v>19</v>
      </c>
    </row>
    <row r="241" customFormat="false" ht="15" hidden="false" customHeight="true" outlineLevel="0" collapsed="false">
      <c r="A241" s="18" t="s">
        <v>173</v>
      </c>
      <c r="B241" s="18" t="s">
        <v>289</v>
      </c>
      <c r="C241" s="18" t="n">
        <v>69</v>
      </c>
      <c r="D241" s="30" t="n">
        <v>334.3</v>
      </c>
      <c r="E241" s="18" t="n">
        <v>20</v>
      </c>
    </row>
    <row r="242" customFormat="false" ht="15" hidden="false" customHeight="true" outlineLevel="0" collapsed="false">
      <c r="A242" s="18" t="s">
        <v>173</v>
      </c>
      <c r="B242" s="18" t="s">
        <v>290</v>
      </c>
      <c r="C242" s="18" t="n">
        <v>65</v>
      </c>
      <c r="D242" s="30" t="n">
        <v>311.47</v>
      </c>
      <c r="E242" s="18" t="n">
        <v>21</v>
      </c>
    </row>
    <row r="243" customFormat="false" ht="15" hidden="false" customHeight="true" outlineLevel="0" collapsed="false">
      <c r="A243" s="18" t="s">
        <v>173</v>
      </c>
      <c r="B243" s="18" t="s">
        <v>291</v>
      </c>
      <c r="C243" s="18" t="n">
        <v>39</v>
      </c>
      <c r="D243" s="30" t="n">
        <v>193.09</v>
      </c>
      <c r="E243" s="18" t="n">
        <v>22</v>
      </c>
    </row>
    <row r="244" customFormat="false" ht="15" hidden="false" customHeight="true" outlineLevel="0" collapsed="false">
      <c r="A244" s="18" t="s">
        <v>173</v>
      </c>
      <c r="B244" s="18" t="s">
        <v>292</v>
      </c>
      <c r="C244" s="18" t="n">
        <v>98</v>
      </c>
      <c r="D244" s="30" t="n">
        <v>473.96</v>
      </c>
      <c r="E244" s="18" t="n">
        <v>23</v>
      </c>
    </row>
    <row r="245" customFormat="false" ht="15" hidden="false" customHeight="true" outlineLevel="0" collapsed="false">
      <c r="A245" s="18" t="s">
        <v>173</v>
      </c>
      <c r="B245" s="18" t="s">
        <v>293</v>
      </c>
      <c r="C245" s="18" t="n">
        <v>71</v>
      </c>
      <c r="D245" s="30" t="n">
        <v>349.14</v>
      </c>
      <c r="E245" s="18" t="n">
        <v>24</v>
      </c>
    </row>
    <row r="246" customFormat="false" ht="15" hidden="false" customHeight="true" outlineLevel="0" collapsed="false">
      <c r="A246" s="18" t="s">
        <v>173</v>
      </c>
      <c r="B246" s="18" t="s">
        <v>294</v>
      </c>
      <c r="C246" s="18" t="n">
        <v>68</v>
      </c>
      <c r="D246" s="30" t="n">
        <v>325.41</v>
      </c>
      <c r="E246" s="18" t="n">
        <v>25</v>
      </c>
    </row>
    <row r="247" customFormat="false" ht="15" hidden="false" customHeight="true" outlineLevel="0" collapsed="false">
      <c r="A247" s="18" t="s">
        <v>173</v>
      </c>
      <c r="B247" s="18" t="s">
        <v>295</v>
      </c>
      <c r="C247" s="18" t="n">
        <v>46</v>
      </c>
      <c r="D247" s="30" t="n">
        <v>220.53</v>
      </c>
      <c r="E247" s="18" t="n">
        <v>26</v>
      </c>
    </row>
    <row r="248" customFormat="false" ht="15" hidden="false" customHeight="true" outlineLevel="0" collapsed="false">
      <c r="A248" s="18" t="s">
        <v>173</v>
      </c>
      <c r="B248" s="18" t="s">
        <v>296</v>
      </c>
      <c r="C248" s="18" t="n">
        <v>72</v>
      </c>
      <c r="D248" s="30" t="n">
        <v>362.47</v>
      </c>
      <c r="E248" s="18" t="n">
        <v>27</v>
      </c>
    </row>
    <row r="249" customFormat="false" ht="15" hidden="false" customHeight="true" outlineLevel="0" collapsed="false">
      <c r="A249" s="18" t="s">
        <v>173</v>
      </c>
      <c r="B249" s="18" t="s">
        <v>297</v>
      </c>
      <c r="C249" s="18" t="n">
        <v>72</v>
      </c>
      <c r="D249" s="30" t="n">
        <v>341.87</v>
      </c>
      <c r="E249" s="18" t="n">
        <v>28</v>
      </c>
    </row>
    <row r="250" customFormat="false" ht="15" hidden="false" customHeight="true" outlineLevel="0" collapsed="false">
      <c r="A250" s="18" t="s">
        <v>173</v>
      </c>
      <c r="B250" s="18" t="s">
        <v>298</v>
      </c>
      <c r="C250" s="18" t="n">
        <v>115</v>
      </c>
      <c r="D250" s="30" t="n">
        <v>565.21</v>
      </c>
      <c r="E250" s="18" t="n">
        <v>29</v>
      </c>
    </row>
    <row r="251" customFormat="false" ht="15" hidden="false" customHeight="true" outlineLevel="0" collapsed="false">
      <c r="A251" s="18" t="s">
        <v>173</v>
      </c>
      <c r="B251" s="18" t="s">
        <v>299</v>
      </c>
      <c r="C251" s="18" t="n">
        <v>77</v>
      </c>
      <c r="D251" s="30" t="n">
        <v>385.51</v>
      </c>
      <c r="E251" s="18" t="n">
        <v>30</v>
      </c>
    </row>
    <row r="252" customFormat="false" ht="15" hidden="false" customHeight="true" outlineLevel="0" collapsed="false">
      <c r="A252" s="18" t="s">
        <v>173</v>
      </c>
      <c r="B252" s="18" t="s">
        <v>300</v>
      </c>
      <c r="C252" s="18" t="n">
        <v>79</v>
      </c>
      <c r="D252" s="30" t="n">
        <v>387.15</v>
      </c>
      <c r="E252" s="18" t="n">
        <v>31</v>
      </c>
    </row>
    <row r="253" customFormat="false" ht="15" hidden="false" customHeight="true" outlineLevel="0" collapsed="false">
      <c r="A253" s="18" t="s">
        <v>173</v>
      </c>
      <c r="B253" s="18" t="s">
        <v>301</v>
      </c>
      <c r="C253" s="18" t="n">
        <v>53</v>
      </c>
      <c r="D253" s="30" t="n">
        <v>255.64</v>
      </c>
      <c r="E253" s="18" t="n">
        <v>32</v>
      </c>
    </row>
    <row r="254" customFormat="false" ht="15" hidden="false" customHeight="true" outlineLevel="0" collapsed="false">
      <c r="A254" s="18" t="s">
        <v>173</v>
      </c>
      <c r="B254" s="18" t="s">
        <v>302</v>
      </c>
      <c r="C254" s="18" t="n">
        <v>62</v>
      </c>
      <c r="D254" s="30" t="n">
        <v>304.9</v>
      </c>
      <c r="E254" s="18" t="n">
        <v>33</v>
      </c>
    </row>
    <row r="255" customFormat="false" ht="15" hidden="false" customHeight="true" outlineLevel="0" collapsed="false">
      <c r="A255" s="18" t="s">
        <v>173</v>
      </c>
      <c r="B255" s="18" t="s">
        <v>303</v>
      </c>
      <c r="C255" s="18" t="n">
        <v>92</v>
      </c>
      <c r="D255" s="30" t="n">
        <v>454.3</v>
      </c>
      <c r="E255" s="18" t="n">
        <v>34</v>
      </c>
    </row>
    <row r="256" customFormat="false" ht="15" hidden="false" customHeight="true" outlineLevel="0" collapsed="false">
      <c r="A256" s="18" t="s">
        <v>173</v>
      </c>
      <c r="B256" s="18" t="s">
        <v>304</v>
      </c>
      <c r="C256" s="18" t="n">
        <v>37</v>
      </c>
      <c r="D256" s="30" t="n">
        <v>175.7</v>
      </c>
      <c r="E256" s="18" t="n">
        <v>35</v>
      </c>
    </row>
    <row r="257" customFormat="false" ht="15" hidden="false" customHeight="true" outlineLevel="0" collapsed="false">
      <c r="A257" s="18" t="s">
        <v>173</v>
      </c>
      <c r="B257" s="18" t="s">
        <v>305</v>
      </c>
      <c r="C257" s="18" t="n">
        <v>103</v>
      </c>
      <c r="D257" s="30" t="n">
        <v>495.55</v>
      </c>
      <c r="E257" s="18" t="n">
        <v>36</v>
      </c>
    </row>
    <row r="258" customFormat="false" ht="15" hidden="false" customHeight="true" outlineLevel="0" collapsed="false">
      <c r="A258" s="18" t="s">
        <v>173</v>
      </c>
      <c r="B258" s="18" t="s">
        <v>306</v>
      </c>
      <c r="C258" s="18" t="n">
        <v>102</v>
      </c>
      <c r="D258" s="30" t="n">
        <v>491.41</v>
      </c>
      <c r="E258" s="18" t="n">
        <v>37</v>
      </c>
    </row>
    <row r="259" customFormat="false" ht="15" hidden="false" customHeight="true" outlineLevel="0" collapsed="false">
      <c r="A259" s="18" t="s">
        <v>173</v>
      </c>
      <c r="B259" s="18" t="s">
        <v>307</v>
      </c>
      <c r="C259" s="18" t="n">
        <v>57</v>
      </c>
      <c r="D259" s="30" t="n">
        <v>279.63</v>
      </c>
      <c r="E259" s="18" t="n">
        <v>38</v>
      </c>
    </row>
    <row r="260" customFormat="false" ht="15" hidden="false" customHeight="true" outlineLevel="0" collapsed="false">
      <c r="A260" s="18" t="s">
        <v>173</v>
      </c>
      <c r="B260" s="18" t="s">
        <v>308</v>
      </c>
      <c r="C260" s="18" t="n">
        <v>83</v>
      </c>
      <c r="D260" s="30" t="n">
        <v>410.2</v>
      </c>
      <c r="E260" s="18" t="n">
        <v>39</v>
      </c>
    </row>
    <row r="261" customFormat="false" ht="15" hidden="false" customHeight="true" outlineLevel="0" collapsed="false">
      <c r="A261" s="18" t="s">
        <v>173</v>
      </c>
      <c r="B261" s="18" t="s">
        <v>309</v>
      </c>
      <c r="C261" s="18" t="n">
        <v>103</v>
      </c>
      <c r="D261" s="30" t="n">
        <v>505.69</v>
      </c>
      <c r="E261" s="18" t="n">
        <v>40</v>
      </c>
    </row>
    <row r="262" customFormat="false" ht="15" hidden="false" customHeight="true" outlineLevel="0" collapsed="false">
      <c r="A262" s="18" t="s">
        <v>173</v>
      </c>
      <c r="B262" s="18" t="s">
        <v>310</v>
      </c>
      <c r="C262" s="18" t="n">
        <v>70</v>
      </c>
      <c r="D262" s="30" t="n">
        <v>352.23</v>
      </c>
      <c r="E262" s="18" t="n">
        <v>41</v>
      </c>
    </row>
    <row r="263" customFormat="false" ht="15" hidden="false" customHeight="true" outlineLevel="0" collapsed="false">
      <c r="A263" s="18" t="s">
        <v>173</v>
      </c>
      <c r="B263" s="18" t="s">
        <v>311</v>
      </c>
      <c r="C263" s="18" t="n">
        <v>65</v>
      </c>
      <c r="D263" s="30" t="n">
        <v>318.13</v>
      </c>
      <c r="E263" s="18" t="n">
        <v>42</v>
      </c>
    </row>
    <row r="264" customFormat="false" ht="15" hidden="false" customHeight="true" outlineLevel="0" collapsed="false">
      <c r="A264" s="18" t="s">
        <v>173</v>
      </c>
      <c r="B264" s="18" t="s">
        <v>312</v>
      </c>
      <c r="C264" s="18" t="n">
        <v>66</v>
      </c>
      <c r="D264" s="30" t="n">
        <v>328.47</v>
      </c>
      <c r="E264" s="18" t="n">
        <v>43</v>
      </c>
    </row>
    <row r="265" customFormat="false" ht="15" hidden="false" customHeight="true" outlineLevel="0" collapsed="false">
      <c r="A265" s="18" t="s">
        <v>173</v>
      </c>
      <c r="B265" s="18" t="s">
        <v>313</v>
      </c>
      <c r="C265" s="18" t="n">
        <v>75</v>
      </c>
      <c r="D265" s="30" t="n">
        <v>364.72</v>
      </c>
      <c r="E265" s="18" t="n">
        <v>44</v>
      </c>
    </row>
    <row r="266" customFormat="false" ht="15" hidden="false" customHeight="true" outlineLevel="0" collapsed="false">
      <c r="A266" s="18" t="s">
        <v>173</v>
      </c>
      <c r="B266" s="18" t="s">
        <v>314</v>
      </c>
      <c r="C266" s="18" t="n">
        <v>56</v>
      </c>
      <c r="D266" s="30" t="n">
        <v>280.24</v>
      </c>
      <c r="E266" s="18" t="n">
        <v>45</v>
      </c>
    </row>
    <row r="267" customFormat="false" ht="15" hidden="false" customHeight="true" outlineLevel="0" collapsed="false">
      <c r="A267" s="18" t="s">
        <v>173</v>
      </c>
      <c r="B267" s="18" t="s">
        <v>315</v>
      </c>
      <c r="C267" s="18" t="n">
        <v>60</v>
      </c>
      <c r="D267" s="30" t="n">
        <v>296.61</v>
      </c>
      <c r="E267" s="18" t="n">
        <v>46</v>
      </c>
    </row>
    <row r="268" customFormat="false" ht="15" hidden="false" customHeight="true" outlineLevel="0" collapsed="false">
      <c r="A268" s="18" t="s">
        <v>173</v>
      </c>
      <c r="B268" s="18" t="s">
        <v>316</v>
      </c>
      <c r="C268" s="18" t="n">
        <v>74</v>
      </c>
      <c r="D268" s="30" t="n">
        <v>371.88</v>
      </c>
      <c r="E268" s="18" t="n">
        <v>47</v>
      </c>
    </row>
    <row r="269" customFormat="false" ht="15" hidden="false" customHeight="true" outlineLevel="0" collapsed="false">
      <c r="A269" s="18" t="s">
        <v>173</v>
      </c>
      <c r="B269" s="18" t="s">
        <v>317</v>
      </c>
      <c r="C269" s="18" t="n">
        <v>59</v>
      </c>
      <c r="D269" s="30" t="n">
        <v>283.31</v>
      </c>
      <c r="E269" s="18" t="n">
        <v>48</v>
      </c>
    </row>
    <row r="270" customFormat="false" ht="15" hidden="false" customHeight="true" outlineLevel="0" collapsed="false">
      <c r="A270" s="18" t="s">
        <v>173</v>
      </c>
      <c r="B270" s="18" t="s">
        <v>318</v>
      </c>
      <c r="C270" s="18" t="n">
        <v>46</v>
      </c>
      <c r="D270" s="30" t="n">
        <v>224.53</v>
      </c>
      <c r="E270" s="18" t="n">
        <v>49</v>
      </c>
    </row>
    <row r="271" customFormat="false" ht="15" hidden="false" customHeight="true" outlineLevel="0" collapsed="false">
      <c r="A271" s="18" t="s">
        <v>173</v>
      </c>
      <c r="B271" s="18" t="s">
        <v>319</v>
      </c>
      <c r="C271" s="18" t="n">
        <v>32</v>
      </c>
      <c r="D271" s="30" t="n">
        <v>160.03</v>
      </c>
      <c r="E271" s="18" t="n">
        <v>50</v>
      </c>
    </row>
    <row r="272" customFormat="false" ht="15" hidden="false" customHeight="true" outlineLevel="0" collapsed="false">
      <c r="A272" s="18" t="s">
        <v>173</v>
      </c>
      <c r="B272" s="18" t="s">
        <v>320</v>
      </c>
      <c r="C272" s="18" t="n">
        <v>74</v>
      </c>
      <c r="D272" s="30" t="n">
        <v>362.23</v>
      </c>
      <c r="E272" s="18" t="n">
        <v>51</v>
      </c>
    </row>
    <row r="273" customFormat="false" ht="15" hidden="false" customHeight="true" outlineLevel="0" collapsed="false">
      <c r="A273" s="18" t="s">
        <v>173</v>
      </c>
      <c r="B273" s="18" t="s">
        <v>321</v>
      </c>
      <c r="C273" s="18" t="n">
        <v>103</v>
      </c>
      <c r="D273" s="30" t="n">
        <v>510.65</v>
      </c>
      <c r="E273" s="18" t="n">
        <v>52</v>
      </c>
    </row>
    <row r="274" customFormat="false" ht="15" hidden="false" customHeight="true" outlineLevel="0" collapsed="false">
      <c r="A274" s="18" t="s">
        <v>178</v>
      </c>
      <c r="B274" s="18" t="s">
        <v>312</v>
      </c>
      <c r="C274" s="18" t="n">
        <v>106</v>
      </c>
      <c r="D274" s="30" t="n">
        <v>728.3</v>
      </c>
      <c r="E274" s="18" t="n">
        <v>1</v>
      </c>
    </row>
    <row r="275" customFormat="false" ht="15" hidden="false" customHeight="true" outlineLevel="0" collapsed="false">
      <c r="A275" s="18" t="s">
        <v>178</v>
      </c>
      <c r="B275" s="18" t="s">
        <v>313</v>
      </c>
      <c r="C275" s="18" t="n">
        <v>118</v>
      </c>
      <c r="D275" s="30" t="n">
        <v>782.37</v>
      </c>
      <c r="E275" s="18" t="n">
        <v>2</v>
      </c>
    </row>
    <row r="276" customFormat="false" ht="15" hidden="false" customHeight="true" outlineLevel="0" collapsed="false">
      <c r="A276" s="18" t="s">
        <v>178</v>
      </c>
      <c r="B276" s="18" t="s">
        <v>314</v>
      </c>
      <c r="C276" s="18" t="n">
        <v>196</v>
      </c>
      <c r="D276" s="30" t="n">
        <v>1285.15</v>
      </c>
      <c r="E276" s="18" t="n">
        <v>3</v>
      </c>
    </row>
    <row r="277" customFormat="false" ht="15" hidden="false" customHeight="true" outlineLevel="0" collapsed="false">
      <c r="A277" s="18" t="s">
        <v>178</v>
      </c>
      <c r="B277" s="18" t="s">
        <v>315</v>
      </c>
      <c r="C277" s="18" t="n">
        <v>194</v>
      </c>
      <c r="D277" s="30" t="n">
        <v>1299.85</v>
      </c>
      <c r="E277" s="18" t="n">
        <v>4</v>
      </c>
    </row>
    <row r="278" customFormat="false" ht="15" hidden="false" customHeight="true" outlineLevel="0" collapsed="false">
      <c r="A278" s="18" t="s">
        <v>178</v>
      </c>
      <c r="B278" s="18" t="s">
        <v>316</v>
      </c>
      <c r="C278" s="18" t="n">
        <v>188</v>
      </c>
      <c r="D278" s="30" t="n">
        <v>1298.51</v>
      </c>
      <c r="E278" s="18" t="n">
        <v>5</v>
      </c>
    </row>
    <row r="279" customFormat="false" ht="15" hidden="false" customHeight="true" outlineLevel="0" collapsed="false">
      <c r="A279" s="18" t="s">
        <v>178</v>
      </c>
      <c r="B279" s="18" t="s">
        <v>317</v>
      </c>
      <c r="C279" s="18" t="n">
        <v>130</v>
      </c>
      <c r="D279" s="30" t="n">
        <v>867.98</v>
      </c>
      <c r="E279" s="18" t="n">
        <v>6</v>
      </c>
    </row>
    <row r="280" customFormat="false" ht="15" hidden="false" customHeight="true" outlineLevel="0" collapsed="false">
      <c r="A280" s="18" t="s">
        <v>178</v>
      </c>
      <c r="B280" s="18" t="s">
        <v>318</v>
      </c>
      <c r="C280" s="18" t="n">
        <v>252</v>
      </c>
      <c r="D280" s="30" t="n">
        <v>1709.27</v>
      </c>
      <c r="E280" s="18" t="n">
        <v>7</v>
      </c>
    </row>
    <row r="281" customFormat="false" ht="15" hidden="false" customHeight="true" outlineLevel="0" collapsed="false">
      <c r="A281" s="18" t="s">
        <v>178</v>
      </c>
      <c r="B281" s="18" t="s">
        <v>319</v>
      </c>
      <c r="C281" s="18" t="n">
        <v>106</v>
      </c>
      <c r="D281" s="30" t="n">
        <v>719.87</v>
      </c>
      <c r="E281" s="18" t="n">
        <v>8</v>
      </c>
    </row>
    <row r="282" customFormat="false" ht="15" hidden="false" customHeight="true" outlineLevel="0" collapsed="false">
      <c r="A282" s="18" t="s">
        <v>178</v>
      </c>
      <c r="B282" s="18" t="s">
        <v>320</v>
      </c>
      <c r="C282" s="18" t="n">
        <v>126</v>
      </c>
      <c r="D282" s="30" t="n">
        <v>848.85</v>
      </c>
      <c r="E282" s="18" t="n">
        <v>9</v>
      </c>
    </row>
    <row r="283" customFormat="false" ht="15" hidden="false" customHeight="true" outlineLevel="0" collapsed="false">
      <c r="A283" s="18" t="s">
        <v>178</v>
      </c>
      <c r="B283" s="18" t="s">
        <v>321</v>
      </c>
      <c r="C283" s="18" t="n">
        <v>190</v>
      </c>
      <c r="D283" s="30" t="n">
        <v>1273.05</v>
      </c>
      <c r="E283" s="18" t="n">
        <v>10</v>
      </c>
    </row>
    <row r="284" customFormat="false" ht="15" hidden="false" customHeight="true" outlineLevel="0" collapsed="false">
      <c r="A284" s="18" t="s">
        <v>181</v>
      </c>
      <c r="B284" s="18" t="s">
        <v>270</v>
      </c>
      <c r="C284" s="18" t="n">
        <v>74</v>
      </c>
      <c r="D284" s="30" t="n">
        <v>377.06</v>
      </c>
      <c r="E284" s="18" t="n">
        <v>1</v>
      </c>
    </row>
    <row r="285" customFormat="false" ht="15" hidden="false" customHeight="true" outlineLevel="0" collapsed="false">
      <c r="A285" s="18" t="s">
        <v>181</v>
      </c>
      <c r="B285" s="18" t="s">
        <v>271</v>
      </c>
      <c r="C285" s="18" t="n">
        <v>88</v>
      </c>
      <c r="D285" s="30" t="n">
        <v>425.98</v>
      </c>
      <c r="E285" s="18" t="n">
        <v>2</v>
      </c>
    </row>
    <row r="286" customFormat="false" ht="15" hidden="false" customHeight="true" outlineLevel="0" collapsed="false">
      <c r="A286" s="18" t="s">
        <v>181</v>
      </c>
      <c r="B286" s="18" t="s">
        <v>272</v>
      </c>
      <c r="C286" s="18" t="n">
        <v>103</v>
      </c>
      <c r="D286" s="30" t="n">
        <v>522.56</v>
      </c>
      <c r="E286" s="18" t="n">
        <v>3</v>
      </c>
    </row>
    <row r="287" customFormat="false" ht="15" hidden="false" customHeight="true" outlineLevel="0" collapsed="false">
      <c r="A287" s="18" t="s">
        <v>181</v>
      </c>
      <c r="B287" s="18" t="s">
        <v>273</v>
      </c>
      <c r="C287" s="18" t="n">
        <v>98</v>
      </c>
      <c r="D287" s="30" t="n">
        <v>477.39</v>
      </c>
      <c r="E287" s="18" t="n">
        <v>4</v>
      </c>
    </row>
    <row r="288" customFormat="false" ht="15" hidden="false" customHeight="true" outlineLevel="0" collapsed="false">
      <c r="A288" s="18" t="s">
        <v>181</v>
      </c>
      <c r="B288" s="18" t="s">
        <v>274</v>
      </c>
      <c r="C288" s="18" t="n">
        <v>92</v>
      </c>
      <c r="D288" s="30" t="n">
        <v>456.92</v>
      </c>
      <c r="E288" s="18" t="n">
        <v>5</v>
      </c>
    </row>
    <row r="289" customFormat="false" ht="15" hidden="false" customHeight="true" outlineLevel="0" collapsed="false">
      <c r="A289" s="18" t="s">
        <v>181</v>
      </c>
      <c r="B289" s="18" t="s">
        <v>275</v>
      </c>
      <c r="C289" s="18" t="n">
        <v>104</v>
      </c>
      <c r="D289" s="30" t="n">
        <v>508.39</v>
      </c>
      <c r="E289" s="18" t="n">
        <v>6</v>
      </c>
    </row>
    <row r="290" customFormat="false" ht="15" hidden="false" customHeight="true" outlineLevel="0" collapsed="false">
      <c r="A290" s="18" t="s">
        <v>181</v>
      </c>
      <c r="B290" s="18" t="s">
        <v>276</v>
      </c>
      <c r="C290" s="18" t="n">
        <v>116</v>
      </c>
      <c r="D290" s="30" t="n">
        <v>574.72</v>
      </c>
      <c r="E290" s="18" t="n">
        <v>7</v>
      </c>
    </row>
    <row r="291" customFormat="false" ht="15" hidden="false" customHeight="true" outlineLevel="0" collapsed="false">
      <c r="A291" s="18" t="s">
        <v>181</v>
      </c>
      <c r="B291" s="18" t="s">
        <v>277</v>
      </c>
      <c r="C291" s="18" t="n">
        <v>122</v>
      </c>
      <c r="D291" s="30" t="n">
        <v>610.66</v>
      </c>
      <c r="E291" s="18" t="n">
        <v>8</v>
      </c>
    </row>
    <row r="292" customFormat="false" ht="15" hidden="false" customHeight="true" outlineLevel="0" collapsed="false">
      <c r="A292" s="18" t="s">
        <v>181</v>
      </c>
      <c r="B292" s="18" t="s">
        <v>278</v>
      </c>
      <c r="C292" s="18" t="n">
        <v>86</v>
      </c>
      <c r="D292" s="30" t="n">
        <v>416.6</v>
      </c>
      <c r="E292" s="18" t="n">
        <v>9</v>
      </c>
    </row>
    <row r="293" customFormat="false" ht="15" hidden="false" customHeight="true" outlineLevel="0" collapsed="false">
      <c r="A293" s="18" t="s">
        <v>181</v>
      </c>
      <c r="B293" s="18" t="s">
        <v>279</v>
      </c>
      <c r="C293" s="18" t="n">
        <v>109</v>
      </c>
      <c r="D293" s="30" t="n">
        <v>533.98</v>
      </c>
      <c r="E293" s="18" t="n">
        <v>10</v>
      </c>
    </row>
    <row r="294" customFormat="false" ht="15" hidden="false" customHeight="true" outlineLevel="0" collapsed="false">
      <c r="A294" s="18" t="s">
        <v>181</v>
      </c>
      <c r="B294" s="18" t="s">
        <v>280</v>
      </c>
      <c r="C294" s="18" t="n">
        <v>105</v>
      </c>
      <c r="D294" s="30" t="n">
        <v>532.57</v>
      </c>
      <c r="E294" s="18" t="n">
        <v>11</v>
      </c>
    </row>
    <row r="295" customFormat="false" ht="15" hidden="false" customHeight="true" outlineLevel="0" collapsed="false">
      <c r="A295" s="18" t="s">
        <v>181</v>
      </c>
      <c r="B295" s="18" t="s">
        <v>281</v>
      </c>
      <c r="C295" s="18" t="n">
        <v>105</v>
      </c>
      <c r="D295" s="30" t="n">
        <v>535.94</v>
      </c>
      <c r="E295" s="18" t="n">
        <v>12</v>
      </c>
    </row>
    <row r="296" customFormat="false" ht="15" hidden="false" customHeight="true" outlineLevel="0" collapsed="false">
      <c r="A296" s="18" t="s">
        <v>181</v>
      </c>
      <c r="B296" s="18" t="s">
        <v>282</v>
      </c>
      <c r="C296" s="18" t="n">
        <v>85</v>
      </c>
      <c r="D296" s="30" t="n">
        <v>433.06</v>
      </c>
      <c r="E296" s="18" t="n">
        <v>13</v>
      </c>
    </row>
    <row r="297" customFormat="false" ht="15" hidden="false" customHeight="true" outlineLevel="0" collapsed="false">
      <c r="A297" s="18" t="s">
        <v>181</v>
      </c>
      <c r="B297" s="18" t="s">
        <v>283</v>
      </c>
      <c r="C297" s="18" t="n">
        <v>82</v>
      </c>
      <c r="D297" s="30" t="n">
        <v>397.88</v>
      </c>
      <c r="E297" s="18" t="n">
        <v>14</v>
      </c>
    </row>
    <row r="298" customFormat="false" ht="15" hidden="false" customHeight="true" outlineLevel="0" collapsed="false">
      <c r="A298" s="18" t="s">
        <v>181</v>
      </c>
      <c r="B298" s="18" t="s">
        <v>284</v>
      </c>
      <c r="C298" s="18" t="n">
        <v>103</v>
      </c>
      <c r="D298" s="30" t="n">
        <v>512.5</v>
      </c>
      <c r="E298" s="18" t="n">
        <v>15</v>
      </c>
    </row>
    <row r="299" customFormat="false" ht="15" hidden="false" customHeight="true" outlineLevel="0" collapsed="false">
      <c r="A299" s="18" t="s">
        <v>181</v>
      </c>
      <c r="B299" s="18" t="s">
        <v>285</v>
      </c>
      <c r="C299" s="18" t="n">
        <v>60</v>
      </c>
      <c r="D299" s="30" t="n">
        <v>303.77</v>
      </c>
      <c r="E299" s="18" t="n">
        <v>16</v>
      </c>
    </row>
    <row r="300" customFormat="false" ht="15" hidden="false" customHeight="true" outlineLevel="0" collapsed="false">
      <c r="A300" s="18" t="s">
        <v>181</v>
      </c>
      <c r="B300" s="18" t="s">
        <v>286</v>
      </c>
      <c r="C300" s="18" t="n">
        <v>74</v>
      </c>
      <c r="D300" s="30" t="n">
        <v>367.97</v>
      </c>
      <c r="E300" s="18" t="n">
        <v>17</v>
      </c>
    </row>
    <row r="301" customFormat="false" ht="15" hidden="false" customHeight="true" outlineLevel="0" collapsed="false">
      <c r="A301" s="18" t="s">
        <v>181</v>
      </c>
      <c r="B301" s="18" t="s">
        <v>287</v>
      </c>
      <c r="C301" s="18" t="n">
        <v>75</v>
      </c>
      <c r="D301" s="30" t="n">
        <v>366.49</v>
      </c>
      <c r="E301" s="18" t="n">
        <v>18</v>
      </c>
    </row>
    <row r="302" customFormat="false" ht="15" hidden="false" customHeight="true" outlineLevel="0" collapsed="false">
      <c r="A302" s="18" t="s">
        <v>181</v>
      </c>
      <c r="B302" s="18" t="s">
        <v>288</v>
      </c>
      <c r="C302" s="18" t="n">
        <v>74</v>
      </c>
      <c r="D302" s="30" t="n">
        <v>374.79</v>
      </c>
      <c r="E302" s="18" t="n">
        <v>19</v>
      </c>
    </row>
    <row r="303" customFormat="false" ht="15" hidden="false" customHeight="true" outlineLevel="0" collapsed="false">
      <c r="A303" s="18" t="s">
        <v>181</v>
      </c>
      <c r="B303" s="18" t="s">
        <v>289</v>
      </c>
      <c r="C303" s="18" t="n">
        <v>70</v>
      </c>
      <c r="D303" s="30" t="n">
        <v>352.1</v>
      </c>
      <c r="E303" s="18" t="n">
        <v>20</v>
      </c>
    </row>
    <row r="304" customFormat="false" ht="15" hidden="false" customHeight="true" outlineLevel="0" collapsed="false">
      <c r="A304" s="18" t="s">
        <v>181</v>
      </c>
      <c r="B304" s="18" t="s">
        <v>290</v>
      </c>
      <c r="C304" s="18" t="n">
        <v>80</v>
      </c>
      <c r="D304" s="30" t="n">
        <v>393.73</v>
      </c>
      <c r="E304" s="18" t="n">
        <v>21</v>
      </c>
    </row>
    <row r="305" customFormat="false" ht="15" hidden="false" customHeight="true" outlineLevel="0" collapsed="false">
      <c r="A305" s="18" t="s">
        <v>181</v>
      </c>
      <c r="B305" s="18" t="s">
        <v>291</v>
      </c>
      <c r="C305" s="18" t="n">
        <v>80</v>
      </c>
      <c r="D305" s="30" t="n">
        <v>402.99</v>
      </c>
      <c r="E305" s="18" t="n">
        <v>22</v>
      </c>
    </row>
    <row r="306" customFormat="false" ht="15" hidden="false" customHeight="true" outlineLevel="0" collapsed="false">
      <c r="A306" s="18" t="s">
        <v>181</v>
      </c>
      <c r="B306" s="18" t="s">
        <v>292</v>
      </c>
      <c r="C306" s="18" t="n">
        <v>77</v>
      </c>
      <c r="D306" s="30" t="n">
        <v>375.2</v>
      </c>
      <c r="E306" s="18" t="n">
        <v>23</v>
      </c>
    </row>
    <row r="307" customFormat="false" ht="15" hidden="false" customHeight="true" outlineLevel="0" collapsed="false">
      <c r="A307" s="18" t="s">
        <v>181</v>
      </c>
      <c r="B307" s="18" t="s">
        <v>293</v>
      </c>
      <c r="C307" s="18" t="n">
        <v>75</v>
      </c>
      <c r="D307" s="30" t="n">
        <v>363.53</v>
      </c>
      <c r="E307" s="18" t="n">
        <v>24</v>
      </c>
    </row>
    <row r="308" customFormat="false" ht="15" hidden="false" customHeight="true" outlineLevel="0" collapsed="false">
      <c r="A308" s="18" t="s">
        <v>181</v>
      </c>
      <c r="B308" s="18" t="s">
        <v>294</v>
      </c>
      <c r="C308" s="18" t="n">
        <v>82</v>
      </c>
      <c r="D308" s="30" t="n">
        <v>396.97</v>
      </c>
      <c r="E308" s="18" t="n">
        <v>25</v>
      </c>
    </row>
    <row r="309" customFormat="false" ht="15" hidden="false" customHeight="true" outlineLevel="0" collapsed="false">
      <c r="A309" s="18" t="s">
        <v>181</v>
      </c>
      <c r="B309" s="18" t="s">
        <v>295</v>
      </c>
      <c r="C309" s="18" t="n">
        <v>89</v>
      </c>
      <c r="D309" s="30" t="n">
        <v>450.62</v>
      </c>
      <c r="E309" s="18" t="n">
        <v>26</v>
      </c>
    </row>
    <row r="310" customFormat="false" ht="15" hidden="false" customHeight="true" outlineLevel="0" collapsed="false">
      <c r="A310" s="18" t="s">
        <v>181</v>
      </c>
      <c r="B310" s="18" t="s">
        <v>296</v>
      </c>
      <c r="C310" s="18" t="n">
        <v>84</v>
      </c>
      <c r="D310" s="30" t="n">
        <v>414.48</v>
      </c>
      <c r="E310" s="18" t="n">
        <v>27</v>
      </c>
    </row>
    <row r="311" customFormat="false" ht="15" hidden="false" customHeight="true" outlineLevel="0" collapsed="false">
      <c r="A311" s="18" t="s">
        <v>181</v>
      </c>
      <c r="B311" s="18" t="s">
        <v>297</v>
      </c>
      <c r="C311" s="18" t="n">
        <v>103</v>
      </c>
      <c r="D311" s="30" t="n">
        <v>503.07</v>
      </c>
      <c r="E311" s="18" t="n">
        <v>28</v>
      </c>
    </row>
    <row r="312" customFormat="false" ht="15" hidden="false" customHeight="true" outlineLevel="0" collapsed="false">
      <c r="A312" s="18" t="s">
        <v>181</v>
      </c>
      <c r="B312" s="18" t="s">
        <v>298</v>
      </c>
      <c r="C312" s="18" t="n">
        <v>112</v>
      </c>
      <c r="D312" s="30" t="n">
        <v>567.23</v>
      </c>
      <c r="E312" s="18" t="n">
        <v>29</v>
      </c>
    </row>
    <row r="313" customFormat="false" ht="15" hidden="false" customHeight="true" outlineLevel="0" collapsed="false">
      <c r="A313" s="18" t="s">
        <v>181</v>
      </c>
      <c r="B313" s="18" t="s">
        <v>299</v>
      </c>
      <c r="C313" s="18" t="n">
        <v>121</v>
      </c>
      <c r="D313" s="30" t="n">
        <v>601.27</v>
      </c>
      <c r="E313" s="18" t="n">
        <v>30</v>
      </c>
    </row>
    <row r="314" customFormat="false" ht="15" hidden="false" customHeight="true" outlineLevel="0" collapsed="false">
      <c r="A314" s="18" t="s">
        <v>181</v>
      </c>
      <c r="B314" s="18" t="s">
        <v>300</v>
      </c>
      <c r="C314" s="18" t="n">
        <v>123</v>
      </c>
      <c r="D314" s="30" t="n">
        <v>600.74</v>
      </c>
      <c r="E314" s="18" t="n">
        <v>31</v>
      </c>
    </row>
    <row r="315" customFormat="false" ht="15" hidden="false" customHeight="true" outlineLevel="0" collapsed="false">
      <c r="A315" s="18" t="s">
        <v>181</v>
      </c>
      <c r="B315" s="18" t="s">
        <v>301</v>
      </c>
      <c r="C315" s="18" t="n">
        <v>104</v>
      </c>
      <c r="D315" s="30" t="n">
        <v>529.46</v>
      </c>
      <c r="E315" s="18" t="n">
        <v>32</v>
      </c>
    </row>
    <row r="316" customFormat="false" ht="15" hidden="false" customHeight="true" outlineLevel="0" collapsed="false">
      <c r="A316" s="18" t="s">
        <v>181</v>
      </c>
      <c r="B316" s="18" t="s">
        <v>302</v>
      </c>
      <c r="C316" s="18" t="n">
        <v>110</v>
      </c>
      <c r="D316" s="30" t="n">
        <v>554.68</v>
      </c>
      <c r="E316" s="18" t="n">
        <v>33</v>
      </c>
    </row>
    <row r="317" customFormat="false" ht="15" hidden="false" customHeight="true" outlineLevel="0" collapsed="false">
      <c r="A317" s="18" t="s">
        <v>181</v>
      </c>
      <c r="B317" s="18" t="s">
        <v>303</v>
      </c>
      <c r="C317" s="18" t="n">
        <v>106</v>
      </c>
      <c r="D317" s="30" t="n">
        <v>525.46</v>
      </c>
      <c r="E317" s="18" t="n">
        <v>34</v>
      </c>
    </row>
    <row r="318" customFormat="false" ht="15" hidden="false" customHeight="true" outlineLevel="0" collapsed="false">
      <c r="A318" s="18" t="s">
        <v>181</v>
      </c>
      <c r="B318" s="18" t="s">
        <v>304</v>
      </c>
      <c r="C318" s="18" t="n">
        <v>105</v>
      </c>
      <c r="D318" s="30" t="n">
        <v>521.94</v>
      </c>
      <c r="E318" s="18" t="n">
        <v>35</v>
      </c>
    </row>
    <row r="319" customFormat="false" ht="15" hidden="false" customHeight="true" outlineLevel="0" collapsed="false">
      <c r="A319" s="18" t="s">
        <v>181</v>
      </c>
      <c r="B319" s="18" t="s">
        <v>305</v>
      </c>
      <c r="C319" s="18" t="n">
        <v>102</v>
      </c>
      <c r="D319" s="30" t="n">
        <v>494.74</v>
      </c>
      <c r="E319" s="18" t="n">
        <v>36</v>
      </c>
    </row>
    <row r="320" customFormat="false" ht="15" hidden="false" customHeight="true" outlineLevel="0" collapsed="false">
      <c r="A320" s="18" t="s">
        <v>181</v>
      </c>
      <c r="B320" s="18" t="s">
        <v>306</v>
      </c>
      <c r="C320" s="18" t="n">
        <v>103</v>
      </c>
      <c r="D320" s="30" t="n">
        <v>524.74</v>
      </c>
      <c r="E320" s="18" t="n">
        <v>37</v>
      </c>
    </row>
    <row r="321" customFormat="false" ht="15" hidden="false" customHeight="true" outlineLevel="0" collapsed="false">
      <c r="A321" s="18" t="s">
        <v>181</v>
      </c>
      <c r="B321" s="18" t="s">
        <v>307</v>
      </c>
      <c r="C321" s="18" t="n">
        <v>113</v>
      </c>
      <c r="D321" s="30" t="n">
        <v>575.72</v>
      </c>
      <c r="E321" s="18" t="n">
        <v>38</v>
      </c>
    </row>
    <row r="322" customFormat="false" ht="15" hidden="false" customHeight="true" outlineLevel="0" collapsed="false">
      <c r="A322" s="18" t="s">
        <v>181</v>
      </c>
      <c r="B322" s="18" t="s">
        <v>308</v>
      </c>
      <c r="C322" s="18" t="n">
        <v>98</v>
      </c>
      <c r="D322" s="30" t="n">
        <v>487.67</v>
      </c>
      <c r="E322" s="18" t="n">
        <v>39</v>
      </c>
    </row>
    <row r="323" customFormat="false" ht="15" hidden="false" customHeight="true" outlineLevel="0" collapsed="false">
      <c r="A323" s="18" t="s">
        <v>181</v>
      </c>
      <c r="B323" s="18" t="s">
        <v>309</v>
      </c>
      <c r="C323" s="18" t="n">
        <v>78</v>
      </c>
      <c r="D323" s="30" t="n">
        <v>381.15</v>
      </c>
      <c r="E323" s="18" t="n">
        <v>40</v>
      </c>
    </row>
    <row r="324" customFormat="false" ht="15" hidden="false" customHeight="true" outlineLevel="0" collapsed="false">
      <c r="A324" s="18" t="s">
        <v>181</v>
      </c>
      <c r="B324" s="18" t="s">
        <v>310</v>
      </c>
      <c r="C324" s="18" t="n">
        <v>96</v>
      </c>
      <c r="D324" s="30" t="n">
        <v>465.27</v>
      </c>
      <c r="E324" s="18" t="n">
        <v>41</v>
      </c>
    </row>
    <row r="325" customFormat="false" ht="15" hidden="false" customHeight="true" outlineLevel="0" collapsed="false">
      <c r="A325" s="18" t="s">
        <v>181</v>
      </c>
      <c r="B325" s="18" t="s">
        <v>311</v>
      </c>
      <c r="C325" s="18" t="n">
        <v>85</v>
      </c>
      <c r="D325" s="30" t="n">
        <v>417.09</v>
      </c>
      <c r="E325" s="18" t="n">
        <v>42</v>
      </c>
    </row>
    <row r="326" customFormat="false" ht="15" hidden="false" customHeight="true" outlineLevel="0" collapsed="false">
      <c r="A326" s="18" t="s">
        <v>181</v>
      </c>
      <c r="B326" s="18" t="s">
        <v>312</v>
      </c>
      <c r="C326" s="18" t="n">
        <v>84</v>
      </c>
      <c r="D326" s="30" t="n">
        <v>415.77</v>
      </c>
      <c r="E326" s="18" t="n">
        <v>43</v>
      </c>
    </row>
    <row r="327" customFormat="false" ht="15" hidden="false" customHeight="true" outlineLevel="0" collapsed="false">
      <c r="A327" s="18" t="s">
        <v>181</v>
      </c>
      <c r="B327" s="18" t="s">
        <v>313</v>
      </c>
      <c r="C327" s="18" t="n">
        <v>79</v>
      </c>
      <c r="D327" s="30" t="n">
        <v>392.59</v>
      </c>
      <c r="E327" s="18" t="n">
        <v>44</v>
      </c>
    </row>
    <row r="328" customFormat="false" ht="15" hidden="false" customHeight="true" outlineLevel="0" collapsed="false">
      <c r="A328" s="18" t="s">
        <v>181</v>
      </c>
      <c r="B328" s="18" t="s">
        <v>314</v>
      </c>
      <c r="C328" s="18" t="n">
        <v>77</v>
      </c>
      <c r="D328" s="30" t="n">
        <v>393.12</v>
      </c>
      <c r="E328" s="18" t="n">
        <v>45</v>
      </c>
    </row>
    <row r="329" customFormat="false" ht="15" hidden="false" customHeight="true" outlineLevel="0" collapsed="false">
      <c r="A329" s="18" t="s">
        <v>181</v>
      </c>
      <c r="B329" s="18" t="s">
        <v>315</v>
      </c>
      <c r="C329" s="18" t="n">
        <v>77</v>
      </c>
      <c r="D329" s="30" t="n">
        <v>387.46</v>
      </c>
      <c r="E329" s="18" t="n">
        <v>46</v>
      </c>
    </row>
    <row r="330" customFormat="false" ht="15" hidden="false" customHeight="true" outlineLevel="0" collapsed="false">
      <c r="A330" s="18" t="s">
        <v>181</v>
      </c>
      <c r="B330" s="18" t="s">
        <v>316</v>
      </c>
      <c r="C330" s="18" t="n">
        <v>58</v>
      </c>
      <c r="D330" s="30" t="n">
        <v>281.69</v>
      </c>
      <c r="E330" s="18" t="n">
        <v>47</v>
      </c>
    </row>
    <row r="331" customFormat="false" ht="15" hidden="false" customHeight="true" outlineLevel="0" collapsed="false">
      <c r="A331" s="18" t="s">
        <v>181</v>
      </c>
      <c r="B331" s="18" t="s">
        <v>317</v>
      </c>
      <c r="C331" s="18" t="n">
        <v>78</v>
      </c>
      <c r="D331" s="30" t="n">
        <v>383.2</v>
      </c>
      <c r="E331" s="18" t="n">
        <v>48</v>
      </c>
    </row>
    <row r="332" customFormat="false" ht="15" hidden="false" customHeight="true" outlineLevel="0" collapsed="false">
      <c r="A332" s="18" t="s">
        <v>181</v>
      </c>
      <c r="B332" s="18" t="s">
        <v>318</v>
      </c>
      <c r="C332" s="18" t="n">
        <v>69</v>
      </c>
      <c r="D332" s="30" t="n">
        <v>339</v>
      </c>
      <c r="E332" s="18" t="n">
        <v>49</v>
      </c>
    </row>
    <row r="333" customFormat="false" ht="15" hidden="false" customHeight="true" outlineLevel="0" collapsed="false">
      <c r="A333" s="18" t="s">
        <v>181</v>
      </c>
      <c r="B333" s="18" t="s">
        <v>319</v>
      </c>
      <c r="C333" s="18" t="n">
        <v>74</v>
      </c>
      <c r="D333" s="30" t="n">
        <v>369.74</v>
      </c>
      <c r="E333" s="18" t="n">
        <v>50</v>
      </c>
    </row>
    <row r="334" customFormat="false" ht="15" hidden="false" customHeight="true" outlineLevel="0" collapsed="false">
      <c r="A334" s="18" t="s">
        <v>181</v>
      </c>
      <c r="B334" s="18" t="s">
        <v>320</v>
      </c>
      <c r="C334" s="18" t="n">
        <v>82</v>
      </c>
      <c r="D334" s="30" t="n">
        <v>413.89</v>
      </c>
      <c r="E334" s="18" t="n">
        <v>51</v>
      </c>
    </row>
    <row r="335" customFormat="false" ht="15" hidden="false" customHeight="true" outlineLevel="0" collapsed="false">
      <c r="A335" s="18" t="s">
        <v>181</v>
      </c>
      <c r="B335" s="18" t="s">
        <v>321</v>
      </c>
      <c r="C335" s="18" t="n">
        <v>102</v>
      </c>
      <c r="D335" s="30" t="n">
        <v>518.78</v>
      </c>
      <c r="E335" s="18" t="n">
        <v>52</v>
      </c>
    </row>
    <row r="336" customFormat="false" ht="15" hidden="false" customHeight="true" outlineLevel="0" collapsed="false">
      <c r="A336" s="18" t="s">
        <v>183</v>
      </c>
      <c r="B336" s="18" t="s">
        <v>270</v>
      </c>
      <c r="C336" s="18" t="n">
        <v>97</v>
      </c>
      <c r="D336" s="30" t="n">
        <v>734.83</v>
      </c>
      <c r="E336" s="18" t="n">
        <v>1</v>
      </c>
    </row>
    <row r="337" customFormat="false" ht="15" hidden="false" customHeight="true" outlineLevel="0" collapsed="false">
      <c r="A337" s="18" t="s">
        <v>183</v>
      </c>
      <c r="B337" s="18" t="s">
        <v>271</v>
      </c>
      <c r="C337" s="18" t="n">
        <v>141</v>
      </c>
      <c r="D337" s="30" t="n">
        <v>1072.56</v>
      </c>
      <c r="E337" s="18" t="n">
        <v>2</v>
      </c>
    </row>
    <row r="338" customFormat="false" ht="15" hidden="false" customHeight="true" outlineLevel="0" collapsed="false">
      <c r="A338" s="18" t="s">
        <v>183</v>
      </c>
      <c r="B338" s="18" t="s">
        <v>272</v>
      </c>
      <c r="C338" s="18" t="n">
        <v>106</v>
      </c>
      <c r="D338" s="30" t="n">
        <v>831.23</v>
      </c>
      <c r="E338" s="18" t="n">
        <v>3</v>
      </c>
    </row>
    <row r="339" customFormat="false" ht="15" hidden="false" customHeight="true" outlineLevel="0" collapsed="false">
      <c r="A339" s="18" t="s">
        <v>183</v>
      </c>
      <c r="B339" s="18" t="s">
        <v>273</v>
      </c>
      <c r="C339" s="18" t="n">
        <v>129</v>
      </c>
      <c r="D339" s="30" t="n">
        <v>1029.02</v>
      </c>
      <c r="E339" s="18" t="n">
        <v>4</v>
      </c>
    </row>
    <row r="340" customFormat="false" ht="15" hidden="false" customHeight="true" outlineLevel="0" collapsed="false">
      <c r="A340" s="18" t="s">
        <v>183</v>
      </c>
      <c r="B340" s="18" t="s">
        <v>274</v>
      </c>
      <c r="C340" s="18" t="n">
        <v>87</v>
      </c>
      <c r="D340" s="30" t="n">
        <v>686.05</v>
      </c>
      <c r="E340" s="18" t="n">
        <v>5</v>
      </c>
    </row>
    <row r="341" customFormat="false" ht="15" hidden="false" customHeight="true" outlineLevel="0" collapsed="false">
      <c r="A341" s="18" t="s">
        <v>183</v>
      </c>
      <c r="B341" s="18" t="s">
        <v>275</v>
      </c>
      <c r="C341" s="18" t="n">
        <v>169</v>
      </c>
      <c r="D341" s="30" t="n">
        <v>1327.44</v>
      </c>
      <c r="E341" s="18" t="n">
        <v>6</v>
      </c>
    </row>
    <row r="342" customFormat="false" ht="15" hidden="false" customHeight="true" outlineLevel="0" collapsed="false">
      <c r="A342" s="18" t="s">
        <v>183</v>
      </c>
      <c r="B342" s="18" t="s">
        <v>276</v>
      </c>
      <c r="C342" s="18" t="n">
        <v>74</v>
      </c>
      <c r="D342" s="30" t="n">
        <v>574.78</v>
      </c>
      <c r="E342" s="18" t="n">
        <v>7</v>
      </c>
    </row>
    <row r="343" customFormat="false" ht="15" hidden="false" customHeight="true" outlineLevel="0" collapsed="false">
      <c r="A343" s="18" t="s">
        <v>183</v>
      </c>
      <c r="B343" s="18" t="s">
        <v>277</v>
      </c>
      <c r="C343" s="18" t="n">
        <v>146</v>
      </c>
      <c r="D343" s="30" t="n">
        <v>1125.16</v>
      </c>
      <c r="E343" s="18" t="n">
        <v>8</v>
      </c>
    </row>
    <row r="344" customFormat="false" ht="15" hidden="false" customHeight="true" outlineLevel="0" collapsed="false">
      <c r="A344" s="18" t="s">
        <v>183</v>
      </c>
      <c r="B344" s="18" t="s">
        <v>278</v>
      </c>
      <c r="C344" s="18" t="n">
        <v>135</v>
      </c>
      <c r="D344" s="30" t="n">
        <v>1061.52</v>
      </c>
      <c r="E344" s="18" t="n">
        <v>9</v>
      </c>
    </row>
    <row r="345" customFormat="false" ht="15" hidden="false" customHeight="true" outlineLevel="0" collapsed="false">
      <c r="A345" s="18" t="s">
        <v>183</v>
      </c>
      <c r="B345" s="18" t="s">
        <v>279</v>
      </c>
      <c r="C345" s="18" t="n">
        <v>137</v>
      </c>
      <c r="D345" s="30" t="n">
        <v>1036.46</v>
      </c>
      <c r="E345" s="18" t="n">
        <v>10</v>
      </c>
    </row>
    <row r="346" customFormat="false" ht="15" hidden="false" customHeight="true" outlineLevel="0" collapsed="false">
      <c r="A346" s="18" t="s">
        <v>183</v>
      </c>
      <c r="B346" s="18" t="s">
        <v>280</v>
      </c>
      <c r="C346" s="18" t="n">
        <v>69</v>
      </c>
      <c r="D346" s="30" t="n">
        <v>549.46</v>
      </c>
      <c r="E346" s="18" t="n">
        <v>11</v>
      </c>
    </row>
    <row r="347" customFormat="false" ht="15" hidden="false" customHeight="true" outlineLevel="0" collapsed="false">
      <c r="A347" s="18" t="s">
        <v>183</v>
      </c>
      <c r="B347" s="18" t="s">
        <v>281</v>
      </c>
      <c r="C347" s="18" t="n">
        <v>103</v>
      </c>
      <c r="D347" s="30" t="n">
        <v>809.03</v>
      </c>
      <c r="E347" s="18" t="n">
        <v>12</v>
      </c>
    </row>
    <row r="348" customFormat="false" ht="15" hidden="false" customHeight="true" outlineLevel="0" collapsed="false">
      <c r="A348" s="18" t="s">
        <v>183</v>
      </c>
      <c r="B348" s="18" t="s">
        <v>282</v>
      </c>
      <c r="C348" s="18" t="n">
        <v>135</v>
      </c>
      <c r="D348" s="30" t="n">
        <v>1078.5</v>
      </c>
      <c r="E348" s="18" t="n">
        <v>13</v>
      </c>
    </row>
    <row r="349" customFormat="false" ht="15" hidden="false" customHeight="true" outlineLevel="0" collapsed="false">
      <c r="A349" s="18" t="s">
        <v>183</v>
      </c>
      <c r="B349" s="18" t="s">
        <v>283</v>
      </c>
      <c r="C349" s="18" t="n">
        <v>155</v>
      </c>
      <c r="D349" s="30" t="n">
        <v>1223.16</v>
      </c>
      <c r="E349" s="18" t="n">
        <v>14</v>
      </c>
    </row>
    <row r="350" customFormat="false" ht="15" hidden="false" customHeight="true" outlineLevel="0" collapsed="false">
      <c r="A350" s="18" t="s">
        <v>183</v>
      </c>
      <c r="B350" s="18" t="s">
        <v>284</v>
      </c>
      <c r="C350" s="18" t="n">
        <v>91</v>
      </c>
      <c r="D350" s="30" t="n">
        <v>710.61</v>
      </c>
      <c r="E350" s="18" t="n">
        <v>15</v>
      </c>
    </row>
    <row r="351" customFormat="false" ht="15" hidden="false" customHeight="true" outlineLevel="0" collapsed="false">
      <c r="A351" s="18" t="s">
        <v>183</v>
      </c>
      <c r="B351" s="18" t="s">
        <v>285</v>
      </c>
      <c r="C351" s="18" t="n">
        <v>109</v>
      </c>
      <c r="D351" s="30" t="n">
        <v>848.47</v>
      </c>
      <c r="E351" s="18" t="n">
        <v>16</v>
      </c>
    </row>
    <row r="352" customFormat="false" ht="15" hidden="false" customHeight="true" outlineLevel="0" collapsed="false">
      <c r="A352" s="18" t="s">
        <v>183</v>
      </c>
      <c r="B352" s="18" t="s">
        <v>286</v>
      </c>
      <c r="C352" s="18" t="n">
        <v>87</v>
      </c>
      <c r="D352" s="30" t="n">
        <v>673.58</v>
      </c>
      <c r="E352" s="18" t="n">
        <v>17</v>
      </c>
    </row>
    <row r="353" customFormat="false" ht="15" hidden="false" customHeight="true" outlineLevel="0" collapsed="false">
      <c r="A353" s="18" t="s">
        <v>183</v>
      </c>
      <c r="B353" s="18" t="s">
        <v>287</v>
      </c>
      <c r="C353" s="18" t="n">
        <v>78</v>
      </c>
      <c r="D353" s="30" t="n">
        <v>601.1</v>
      </c>
      <c r="E353" s="18" t="n">
        <v>18</v>
      </c>
    </row>
    <row r="354" customFormat="false" ht="15" hidden="false" customHeight="true" outlineLevel="0" collapsed="false">
      <c r="A354" s="18" t="s">
        <v>183</v>
      </c>
      <c r="B354" s="18" t="s">
        <v>288</v>
      </c>
      <c r="C354" s="18" t="n">
        <v>67</v>
      </c>
      <c r="D354" s="30" t="n">
        <v>519.39</v>
      </c>
      <c r="E354" s="18" t="n">
        <v>19</v>
      </c>
    </row>
    <row r="355" customFormat="false" ht="15" hidden="false" customHeight="true" outlineLevel="0" collapsed="false">
      <c r="A355" s="18" t="s">
        <v>183</v>
      </c>
      <c r="B355" s="18" t="s">
        <v>289</v>
      </c>
      <c r="C355" s="18" t="n">
        <v>75</v>
      </c>
      <c r="D355" s="30" t="n">
        <v>569.21</v>
      </c>
      <c r="E355" s="18" t="n">
        <v>20</v>
      </c>
    </row>
    <row r="356" customFormat="false" ht="15" hidden="false" customHeight="true" outlineLevel="0" collapsed="false">
      <c r="A356" s="18" t="s">
        <v>183</v>
      </c>
      <c r="B356" s="18" t="s">
        <v>290</v>
      </c>
      <c r="C356" s="18" t="n">
        <v>89</v>
      </c>
      <c r="D356" s="30" t="n">
        <v>698.88</v>
      </c>
      <c r="E356" s="18" t="n">
        <v>21</v>
      </c>
    </row>
    <row r="357" customFormat="false" ht="15" hidden="false" customHeight="true" outlineLevel="0" collapsed="false">
      <c r="A357" s="18" t="s">
        <v>183</v>
      </c>
      <c r="B357" s="18" t="s">
        <v>291</v>
      </c>
      <c r="C357" s="18" t="n">
        <v>93</v>
      </c>
      <c r="D357" s="30" t="n">
        <v>702.69</v>
      </c>
      <c r="E357" s="18" t="n">
        <v>22</v>
      </c>
    </row>
    <row r="358" customFormat="false" ht="15" hidden="false" customHeight="true" outlineLevel="0" collapsed="false">
      <c r="A358" s="18" t="s">
        <v>183</v>
      </c>
      <c r="B358" s="18" t="s">
        <v>292</v>
      </c>
      <c r="C358" s="18" t="n">
        <v>49</v>
      </c>
      <c r="D358" s="30" t="n">
        <v>374.31</v>
      </c>
      <c r="E358" s="18" t="n">
        <v>23</v>
      </c>
    </row>
    <row r="359" customFormat="false" ht="15" hidden="false" customHeight="true" outlineLevel="0" collapsed="false">
      <c r="A359" s="18" t="s">
        <v>183</v>
      </c>
      <c r="B359" s="18" t="s">
        <v>293</v>
      </c>
      <c r="C359" s="18" t="n">
        <v>69</v>
      </c>
      <c r="D359" s="30" t="n">
        <v>548.44</v>
      </c>
      <c r="E359" s="18" t="n">
        <v>24</v>
      </c>
    </row>
    <row r="360" customFormat="false" ht="15" hidden="false" customHeight="true" outlineLevel="0" collapsed="false">
      <c r="A360" s="18" t="s">
        <v>183</v>
      </c>
      <c r="B360" s="18" t="s">
        <v>294</v>
      </c>
      <c r="C360" s="18" t="n">
        <v>59</v>
      </c>
      <c r="D360" s="30" t="n">
        <v>463.64</v>
      </c>
      <c r="E360" s="18" t="n">
        <v>25</v>
      </c>
    </row>
    <row r="361" customFormat="false" ht="15" hidden="false" customHeight="true" outlineLevel="0" collapsed="false">
      <c r="A361" s="18" t="s">
        <v>183</v>
      </c>
      <c r="B361" s="18" t="s">
        <v>295</v>
      </c>
      <c r="C361" s="18" t="n">
        <v>93</v>
      </c>
      <c r="D361" s="30" t="n">
        <v>713.78</v>
      </c>
      <c r="E361" s="18" t="n">
        <v>26</v>
      </c>
    </row>
    <row r="362" customFormat="false" ht="15" hidden="false" customHeight="true" outlineLevel="0" collapsed="false">
      <c r="A362" s="18" t="s">
        <v>183</v>
      </c>
      <c r="B362" s="18" t="s">
        <v>296</v>
      </c>
      <c r="C362" s="18" t="n">
        <v>87</v>
      </c>
      <c r="D362" s="30" t="n">
        <v>668.07</v>
      </c>
      <c r="E362" s="18" t="n">
        <v>27</v>
      </c>
    </row>
    <row r="363" customFormat="false" ht="15" hidden="false" customHeight="true" outlineLevel="0" collapsed="false">
      <c r="A363" s="18" t="s">
        <v>183</v>
      </c>
      <c r="B363" s="18" t="s">
        <v>297</v>
      </c>
      <c r="C363" s="18" t="n">
        <v>113</v>
      </c>
      <c r="D363" s="30" t="n">
        <v>900.78</v>
      </c>
      <c r="E363" s="18" t="n">
        <v>28</v>
      </c>
    </row>
    <row r="364" customFormat="false" ht="15" hidden="false" customHeight="true" outlineLevel="0" collapsed="false">
      <c r="A364" s="18" t="s">
        <v>183</v>
      </c>
      <c r="B364" s="18" t="s">
        <v>298</v>
      </c>
      <c r="C364" s="18" t="n">
        <v>121</v>
      </c>
      <c r="D364" s="30" t="n">
        <v>943.76</v>
      </c>
      <c r="E364" s="18" t="n">
        <v>29</v>
      </c>
    </row>
    <row r="365" customFormat="false" ht="15" hidden="false" customHeight="true" outlineLevel="0" collapsed="false">
      <c r="A365" s="18" t="s">
        <v>183</v>
      </c>
      <c r="B365" s="18" t="s">
        <v>299</v>
      </c>
      <c r="C365" s="18" t="n">
        <v>41</v>
      </c>
      <c r="D365" s="30" t="n">
        <v>327.65</v>
      </c>
      <c r="E365" s="18" t="n">
        <v>30</v>
      </c>
    </row>
    <row r="366" customFormat="false" ht="15" hidden="false" customHeight="true" outlineLevel="0" collapsed="false">
      <c r="A366" s="18" t="s">
        <v>183</v>
      </c>
      <c r="B366" s="18" t="s">
        <v>300</v>
      </c>
      <c r="C366" s="18" t="n">
        <v>40</v>
      </c>
      <c r="D366" s="30" t="n">
        <v>306.63</v>
      </c>
      <c r="E366" s="18" t="n">
        <v>31</v>
      </c>
    </row>
    <row r="367" customFormat="false" ht="15" hidden="false" customHeight="true" outlineLevel="0" collapsed="false">
      <c r="A367" s="18" t="s">
        <v>183</v>
      </c>
      <c r="B367" s="18" t="s">
        <v>301</v>
      </c>
      <c r="C367" s="18" t="n">
        <v>117</v>
      </c>
      <c r="D367" s="30" t="n">
        <v>900.46</v>
      </c>
      <c r="E367" s="18" t="n">
        <v>32</v>
      </c>
    </row>
    <row r="368" customFormat="false" ht="15" hidden="false" customHeight="true" outlineLevel="0" collapsed="false">
      <c r="A368" s="18" t="s">
        <v>183</v>
      </c>
      <c r="B368" s="18" t="s">
        <v>302</v>
      </c>
      <c r="C368" s="18" t="n">
        <v>161</v>
      </c>
      <c r="D368" s="30" t="n">
        <v>1245.04</v>
      </c>
      <c r="E368" s="18" t="n">
        <v>33</v>
      </c>
    </row>
    <row r="369" customFormat="false" ht="15" hidden="false" customHeight="true" outlineLevel="0" collapsed="false">
      <c r="A369" s="18" t="s">
        <v>183</v>
      </c>
      <c r="B369" s="18" t="s">
        <v>303</v>
      </c>
      <c r="C369" s="18" t="n">
        <v>100</v>
      </c>
      <c r="D369" s="30" t="n">
        <v>755.74</v>
      </c>
      <c r="E369" s="18" t="n">
        <v>34</v>
      </c>
    </row>
    <row r="370" customFormat="false" ht="15" hidden="false" customHeight="true" outlineLevel="0" collapsed="false">
      <c r="A370" s="18" t="s">
        <v>183</v>
      </c>
      <c r="B370" s="18" t="s">
        <v>304</v>
      </c>
      <c r="C370" s="18" t="n">
        <v>98</v>
      </c>
      <c r="D370" s="30" t="n">
        <v>779.6</v>
      </c>
      <c r="E370" s="18" t="n">
        <v>35</v>
      </c>
    </row>
    <row r="371" customFormat="false" ht="15" hidden="false" customHeight="true" outlineLevel="0" collapsed="false">
      <c r="A371" s="18" t="s">
        <v>183</v>
      </c>
      <c r="B371" s="18" t="s">
        <v>305</v>
      </c>
      <c r="C371" s="18" t="n">
        <v>147</v>
      </c>
      <c r="D371" s="30" t="n">
        <v>1139.81</v>
      </c>
      <c r="E371" s="18" t="n">
        <v>36</v>
      </c>
    </row>
    <row r="372" customFormat="false" ht="15" hidden="false" customHeight="true" outlineLevel="0" collapsed="false">
      <c r="A372" s="18" t="s">
        <v>183</v>
      </c>
      <c r="B372" s="18" t="s">
        <v>306</v>
      </c>
      <c r="C372" s="18" t="n">
        <v>136</v>
      </c>
      <c r="D372" s="30" t="n">
        <v>1080.55</v>
      </c>
      <c r="E372" s="18" t="n">
        <v>37</v>
      </c>
    </row>
    <row r="373" customFormat="false" ht="15" hidden="false" customHeight="true" outlineLevel="0" collapsed="false">
      <c r="A373" s="18" t="s">
        <v>183</v>
      </c>
      <c r="B373" s="18" t="s">
        <v>307</v>
      </c>
      <c r="C373" s="18" t="n">
        <v>74</v>
      </c>
      <c r="D373" s="30" t="n">
        <v>577.26</v>
      </c>
      <c r="E373" s="18" t="n">
        <v>38</v>
      </c>
    </row>
    <row r="374" customFormat="false" ht="15" hidden="false" customHeight="true" outlineLevel="0" collapsed="false">
      <c r="A374" s="18" t="s">
        <v>183</v>
      </c>
      <c r="B374" s="18" t="s">
        <v>308</v>
      </c>
      <c r="C374" s="18" t="n">
        <v>119</v>
      </c>
      <c r="D374" s="30" t="n">
        <v>933.16</v>
      </c>
      <c r="E374" s="18" t="n">
        <v>39</v>
      </c>
    </row>
    <row r="375" customFormat="false" ht="15" hidden="false" customHeight="true" outlineLevel="0" collapsed="false">
      <c r="A375" s="18" t="s">
        <v>183</v>
      </c>
      <c r="B375" s="18" t="s">
        <v>309</v>
      </c>
      <c r="C375" s="18" t="n">
        <v>72</v>
      </c>
      <c r="D375" s="30" t="n">
        <v>551.56</v>
      </c>
      <c r="E375" s="18" t="n">
        <v>40</v>
      </c>
    </row>
    <row r="376" customFormat="false" ht="15" hidden="false" customHeight="true" outlineLevel="0" collapsed="false">
      <c r="A376" s="18" t="s">
        <v>183</v>
      </c>
      <c r="B376" s="18" t="s">
        <v>310</v>
      </c>
      <c r="C376" s="18" t="n">
        <v>73</v>
      </c>
      <c r="D376" s="30" t="n">
        <v>582.38</v>
      </c>
      <c r="E376" s="18" t="n">
        <v>41</v>
      </c>
    </row>
    <row r="377" customFormat="false" ht="15" hidden="false" customHeight="true" outlineLevel="0" collapsed="false">
      <c r="A377" s="18" t="s">
        <v>183</v>
      </c>
      <c r="B377" s="18" t="s">
        <v>311</v>
      </c>
      <c r="C377" s="18" t="n">
        <v>58</v>
      </c>
      <c r="D377" s="30" t="n">
        <v>464.19</v>
      </c>
      <c r="E377" s="18" t="n">
        <v>42</v>
      </c>
    </row>
    <row r="378" customFormat="false" ht="15" hidden="false" customHeight="true" outlineLevel="0" collapsed="false">
      <c r="A378" s="18" t="s">
        <v>183</v>
      </c>
      <c r="B378" s="18" t="s">
        <v>312</v>
      </c>
      <c r="C378" s="18" t="n">
        <v>48</v>
      </c>
      <c r="D378" s="30" t="n">
        <v>379.37</v>
      </c>
      <c r="E378" s="18" t="n">
        <v>43</v>
      </c>
    </row>
    <row r="379" customFormat="false" ht="15" hidden="false" customHeight="true" outlineLevel="0" collapsed="false">
      <c r="A379" s="18" t="s">
        <v>183</v>
      </c>
      <c r="B379" s="18" t="s">
        <v>313</v>
      </c>
      <c r="C379" s="18" t="n">
        <v>75</v>
      </c>
      <c r="D379" s="30" t="n">
        <v>582.82</v>
      </c>
      <c r="E379" s="18" t="n">
        <v>44</v>
      </c>
    </row>
    <row r="380" customFormat="false" ht="15" hidden="false" customHeight="true" outlineLevel="0" collapsed="false">
      <c r="A380" s="18" t="s">
        <v>183</v>
      </c>
      <c r="B380" s="18" t="s">
        <v>314</v>
      </c>
      <c r="C380" s="18" t="n">
        <v>41</v>
      </c>
      <c r="D380" s="30" t="n">
        <v>314.01</v>
      </c>
      <c r="E380" s="18" t="n">
        <v>45</v>
      </c>
    </row>
    <row r="381" customFormat="false" ht="15" hidden="false" customHeight="true" outlineLevel="0" collapsed="false">
      <c r="A381" s="18" t="s">
        <v>183</v>
      </c>
      <c r="B381" s="18" t="s">
        <v>315</v>
      </c>
      <c r="C381" s="18" t="n">
        <v>72</v>
      </c>
      <c r="D381" s="30" t="n">
        <v>553.08</v>
      </c>
      <c r="E381" s="18" t="n">
        <v>46</v>
      </c>
    </row>
    <row r="382" customFormat="false" ht="15" hidden="false" customHeight="true" outlineLevel="0" collapsed="false">
      <c r="A382" s="18" t="s">
        <v>183</v>
      </c>
      <c r="B382" s="18" t="s">
        <v>316</v>
      </c>
      <c r="C382" s="18" t="n">
        <v>71</v>
      </c>
      <c r="D382" s="30" t="n">
        <v>555.23</v>
      </c>
      <c r="E382" s="18" t="n">
        <v>47</v>
      </c>
    </row>
    <row r="383" customFormat="false" ht="15" hidden="false" customHeight="true" outlineLevel="0" collapsed="false">
      <c r="A383" s="18" t="s">
        <v>183</v>
      </c>
      <c r="B383" s="18" t="s">
        <v>317</v>
      </c>
      <c r="C383" s="18" t="n">
        <v>66</v>
      </c>
      <c r="D383" s="30" t="n">
        <v>504.82</v>
      </c>
      <c r="E383" s="18" t="n">
        <v>48</v>
      </c>
    </row>
    <row r="384" customFormat="false" ht="15" hidden="false" customHeight="true" outlineLevel="0" collapsed="false">
      <c r="A384" s="18" t="s">
        <v>183</v>
      </c>
      <c r="B384" s="18" t="s">
        <v>318</v>
      </c>
      <c r="C384" s="18" t="n">
        <v>62</v>
      </c>
      <c r="D384" s="30" t="n">
        <v>492.8</v>
      </c>
      <c r="E384" s="18" t="n">
        <v>49</v>
      </c>
    </row>
    <row r="385" customFormat="false" ht="15" hidden="false" customHeight="true" outlineLevel="0" collapsed="false">
      <c r="A385" s="18" t="s">
        <v>183</v>
      </c>
      <c r="B385" s="18" t="s">
        <v>319</v>
      </c>
      <c r="C385" s="18" t="n">
        <v>60</v>
      </c>
      <c r="D385" s="30" t="n">
        <v>453.01</v>
      </c>
      <c r="E385" s="18" t="n">
        <v>50</v>
      </c>
    </row>
    <row r="386" customFormat="false" ht="15" hidden="false" customHeight="true" outlineLevel="0" collapsed="false">
      <c r="A386" s="18" t="s">
        <v>183</v>
      </c>
      <c r="B386" s="18" t="s">
        <v>320</v>
      </c>
      <c r="C386" s="18" t="n">
        <v>54</v>
      </c>
      <c r="D386" s="30" t="n">
        <v>427.62</v>
      </c>
      <c r="E386" s="18" t="n">
        <v>51</v>
      </c>
    </row>
    <row r="387" customFormat="false" ht="15" hidden="false" customHeight="true" outlineLevel="0" collapsed="false">
      <c r="A387" s="18" t="s">
        <v>183</v>
      </c>
      <c r="B387" s="18" t="s">
        <v>321</v>
      </c>
      <c r="C387" s="18" t="n">
        <v>120</v>
      </c>
      <c r="D387" s="30" t="n">
        <v>913.34</v>
      </c>
      <c r="E387" s="18" t="n">
        <v>52</v>
      </c>
    </row>
    <row r="388" customFormat="false" ht="15" hidden="false" customHeight="true" outlineLevel="0" collapsed="false">
      <c r="A388" s="18" t="s">
        <v>185</v>
      </c>
      <c r="B388" s="18" t="s">
        <v>270</v>
      </c>
      <c r="C388" s="18" t="n">
        <v>155</v>
      </c>
      <c r="D388" s="30" t="n">
        <v>1359.97</v>
      </c>
      <c r="E388" s="18" t="n">
        <v>1</v>
      </c>
    </row>
    <row r="389" customFormat="false" ht="15" hidden="false" customHeight="true" outlineLevel="0" collapsed="false">
      <c r="A389" s="18" t="s">
        <v>185</v>
      </c>
      <c r="B389" s="18" t="s">
        <v>271</v>
      </c>
      <c r="C389" s="18" t="n">
        <v>213</v>
      </c>
      <c r="D389" s="30" t="n">
        <v>1922.18</v>
      </c>
      <c r="E389" s="18" t="n">
        <v>2</v>
      </c>
    </row>
    <row r="390" customFormat="false" ht="15" hidden="false" customHeight="true" outlineLevel="0" collapsed="false">
      <c r="A390" s="18" t="s">
        <v>185</v>
      </c>
      <c r="B390" s="18" t="s">
        <v>272</v>
      </c>
      <c r="C390" s="18" t="n">
        <v>181</v>
      </c>
      <c r="D390" s="30" t="n">
        <v>1668.55</v>
      </c>
      <c r="E390" s="18" t="n">
        <v>3</v>
      </c>
    </row>
    <row r="391" customFormat="false" ht="15" hidden="false" customHeight="true" outlineLevel="0" collapsed="false">
      <c r="A391" s="18" t="s">
        <v>185</v>
      </c>
      <c r="B391" s="18" t="s">
        <v>273</v>
      </c>
      <c r="C391" s="18" t="n">
        <v>209</v>
      </c>
      <c r="D391" s="30" t="n">
        <v>1831.97</v>
      </c>
      <c r="E391" s="18" t="n">
        <v>4</v>
      </c>
    </row>
    <row r="392" customFormat="false" ht="15" hidden="false" customHeight="true" outlineLevel="0" collapsed="false">
      <c r="A392" s="18" t="s">
        <v>185</v>
      </c>
      <c r="B392" s="18" t="s">
        <v>274</v>
      </c>
      <c r="C392" s="18" t="n">
        <v>221</v>
      </c>
      <c r="D392" s="30" t="n">
        <v>1952.91</v>
      </c>
      <c r="E392" s="18" t="n">
        <v>5</v>
      </c>
    </row>
    <row r="393" customFormat="false" ht="15" hidden="false" customHeight="true" outlineLevel="0" collapsed="false">
      <c r="A393" s="18" t="s">
        <v>185</v>
      </c>
      <c r="B393" s="18" t="s">
        <v>275</v>
      </c>
      <c r="C393" s="18" t="n">
        <v>218</v>
      </c>
      <c r="D393" s="30" t="n">
        <v>1972.44</v>
      </c>
      <c r="E393" s="18" t="n">
        <v>6</v>
      </c>
    </row>
    <row r="394" customFormat="false" ht="15" hidden="false" customHeight="true" outlineLevel="0" collapsed="false">
      <c r="A394" s="18" t="s">
        <v>185</v>
      </c>
      <c r="B394" s="18" t="s">
        <v>276</v>
      </c>
      <c r="C394" s="18" t="n">
        <v>181</v>
      </c>
      <c r="D394" s="30" t="n">
        <v>1654.12</v>
      </c>
      <c r="E394" s="18" t="n">
        <v>7</v>
      </c>
    </row>
    <row r="395" customFormat="false" ht="15" hidden="false" customHeight="true" outlineLevel="0" collapsed="false">
      <c r="A395" s="18" t="s">
        <v>185</v>
      </c>
      <c r="B395" s="18" t="s">
        <v>277</v>
      </c>
      <c r="C395" s="18" t="n">
        <v>235</v>
      </c>
      <c r="D395" s="30" t="n">
        <v>2095.93</v>
      </c>
      <c r="E395" s="18" t="n">
        <v>8</v>
      </c>
    </row>
    <row r="396" customFormat="false" ht="15" hidden="false" customHeight="true" outlineLevel="0" collapsed="false">
      <c r="A396" s="18" t="s">
        <v>185</v>
      </c>
      <c r="B396" s="18" t="s">
        <v>278</v>
      </c>
      <c r="C396" s="18" t="n">
        <v>200</v>
      </c>
      <c r="D396" s="30" t="n">
        <v>1792.08</v>
      </c>
      <c r="E396" s="18" t="n">
        <v>9</v>
      </c>
    </row>
    <row r="397" customFormat="false" ht="15" hidden="false" customHeight="true" outlineLevel="0" collapsed="false">
      <c r="A397" s="18" t="s">
        <v>185</v>
      </c>
      <c r="B397" s="18" t="s">
        <v>279</v>
      </c>
      <c r="C397" s="18" t="n">
        <v>231</v>
      </c>
      <c r="D397" s="30" t="n">
        <v>2088.72</v>
      </c>
      <c r="E397" s="18" t="n">
        <v>10</v>
      </c>
    </row>
    <row r="398" customFormat="false" ht="15" hidden="false" customHeight="true" outlineLevel="0" collapsed="false">
      <c r="A398" s="18" t="s">
        <v>185</v>
      </c>
      <c r="B398" s="18" t="s">
        <v>280</v>
      </c>
      <c r="C398" s="18" t="n">
        <v>188</v>
      </c>
      <c r="D398" s="30" t="n">
        <v>1734.96</v>
      </c>
      <c r="E398" s="18" t="n">
        <v>11</v>
      </c>
    </row>
    <row r="399" customFormat="false" ht="15" hidden="false" customHeight="true" outlineLevel="0" collapsed="false">
      <c r="A399" s="18" t="s">
        <v>185</v>
      </c>
      <c r="B399" s="18" t="s">
        <v>281</v>
      </c>
      <c r="C399" s="18" t="n">
        <v>194</v>
      </c>
      <c r="D399" s="30" t="n">
        <v>1696.02</v>
      </c>
      <c r="E399" s="18" t="n">
        <v>12</v>
      </c>
    </row>
    <row r="400" customFormat="false" ht="15" hidden="false" customHeight="true" outlineLevel="0" collapsed="false">
      <c r="A400" s="18" t="s">
        <v>185</v>
      </c>
      <c r="B400" s="18" t="s">
        <v>282</v>
      </c>
      <c r="C400" s="18" t="n">
        <v>197</v>
      </c>
      <c r="D400" s="30" t="n">
        <v>1815.6</v>
      </c>
      <c r="E400" s="18" t="n">
        <v>13</v>
      </c>
    </row>
    <row r="401" customFormat="false" ht="15" hidden="false" customHeight="true" outlineLevel="0" collapsed="false">
      <c r="A401" s="18" t="s">
        <v>185</v>
      </c>
      <c r="B401" s="18" t="s">
        <v>283</v>
      </c>
      <c r="C401" s="18" t="n">
        <v>202</v>
      </c>
      <c r="D401" s="30" t="n">
        <v>1805.71</v>
      </c>
      <c r="E401" s="18" t="n">
        <v>14</v>
      </c>
    </row>
    <row r="402" customFormat="false" ht="15" hidden="false" customHeight="true" outlineLevel="0" collapsed="false">
      <c r="A402" s="18" t="s">
        <v>185</v>
      </c>
      <c r="B402" s="18" t="s">
        <v>284</v>
      </c>
      <c r="C402" s="18" t="n">
        <v>178</v>
      </c>
      <c r="D402" s="30" t="n">
        <v>1551.95</v>
      </c>
      <c r="E402" s="18" t="n">
        <v>15</v>
      </c>
    </row>
    <row r="403" customFormat="false" ht="15" hidden="false" customHeight="true" outlineLevel="0" collapsed="false">
      <c r="A403" s="18" t="s">
        <v>185</v>
      </c>
      <c r="B403" s="18" t="s">
        <v>285</v>
      </c>
      <c r="C403" s="18" t="n">
        <v>165</v>
      </c>
      <c r="D403" s="30" t="n">
        <v>1465.39</v>
      </c>
      <c r="E403" s="18" t="n">
        <v>16</v>
      </c>
    </row>
    <row r="404" customFormat="false" ht="15" hidden="false" customHeight="true" outlineLevel="0" collapsed="false">
      <c r="A404" s="18" t="s">
        <v>185</v>
      </c>
      <c r="B404" s="18" t="s">
        <v>286</v>
      </c>
      <c r="C404" s="18" t="n">
        <v>159</v>
      </c>
      <c r="D404" s="30" t="n">
        <v>1453.03</v>
      </c>
      <c r="E404" s="18" t="n">
        <v>17</v>
      </c>
    </row>
    <row r="405" customFormat="false" ht="15" hidden="false" customHeight="true" outlineLevel="0" collapsed="false">
      <c r="A405" s="18" t="s">
        <v>185</v>
      </c>
      <c r="B405" s="18" t="s">
        <v>287</v>
      </c>
      <c r="C405" s="18" t="n">
        <v>127</v>
      </c>
      <c r="D405" s="30" t="n">
        <v>1132.23</v>
      </c>
      <c r="E405" s="18" t="n">
        <v>18</v>
      </c>
    </row>
    <row r="406" customFormat="false" ht="15" hidden="false" customHeight="true" outlineLevel="0" collapsed="false">
      <c r="A406" s="18" t="s">
        <v>185</v>
      </c>
      <c r="B406" s="18" t="s">
        <v>288</v>
      </c>
      <c r="C406" s="18" t="n">
        <v>149</v>
      </c>
      <c r="D406" s="30" t="n">
        <v>1354.97</v>
      </c>
      <c r="E406" s="18" t="n">
        <v>19</v>
      </c>
    </row>
    <row r="407" customFormat="false" ht="15" hidden="false" customHeight="true" outlineLevel="0" collapsed="false">
      <c r="A407" s="18" t="s">
        <v>185</v>
      </c>
      <c r="B407" s="18" t="s">
        <v>289</v>
      </c>
      <c r="C407" s="18" t="n">
        <v>129</v>
      </c>
      <c r="D407" s="30" t="n">
        <v>1155.23</v>
      </c>
      <c r="E407" s="18" t="n">
        <v>20</v>
      </c>
    </row>
    <row r="408" customFormat="false" ht="15" hidden="false" customHeight="true" outlineLevel="0" collapsed="false">
      <c r="A408" s="18" t="s">
        <v>185</v>
      </c>
      <c r="B408" s="18" t="s">
        <v>290</v>
      </c>
      <c r="C408" s="18" t="n">
        <v>129</v>
      </c>
      <c r="D408" s="30" t="n">
        <v>1131.14</v>
      </c>
      <c r="E408" s="18" t="n">
        <v>21</v>
      </c>
    </row>
    <row r="409" customFormat="false" ht="15" hidden="false" customHeight="true" outlineLevel="0" collapsed="false">
      <c r="A409" s="18" t="s">
        <v>185</v>
      </c>
      <c r="B409" s="18" t="s">
        <v>291</v>
      </c>
      <c r="C409" s="18" t="n">
        <v>137</v>
      </c>
      <c r="D409" s="30" t="n">
        <v>1197.77</v>
      </c>
      <c r="E409" s="18" t="n">
        <v>22</v>
      </c>
    </row>
    <row r="410" customFormat="false" ht="15" hidden="false" customHeight="true" outlineLevel="0" collapsed="false">
      <c r="A410" s="18" t="s">
        <v>185</v>
      </c>
      <c r="B410" s="18" t="s">
        <v>292</v>
      </c>
      <c r="C410" s="18" t="n">
        <v>135</v>
      </c>
      <c r="D410" s="30" t="n">
        <v>1212.06</v>
      </c>
      <c r="E410" s="18" t="n">
        <v>23</v>
      </c>
    </row>
    <row r="411" customFormat="false" ht="15" hidden="false" customHeight="true" outlineLevel="0" collapsed="false">
      <c r="A411" s="18" t="s">
        <v>185</v>
      </c>
      <c r="B411" s="18" t="s">
        <v>293</v>
      </c>
      <c r="C411" s="18" t="n">
        <v>130</v>
      </c>
      <c r="D411" s="30" t="n">
        <v>1133.55</v>
      </c>
      <c r="E411" s="18" t="n">
        <v>24</v>
      </c>
    </row>
    <row r="412" customFormat="false" ht="15" hidden="false" customHeight="true" outlineLevel="0" collapsed="false">
      <c r="A412" s="18" t="s">
        <v>185</v>
      </c>
      <c r="B412" s="18" t="s">
        <v>294</v>
      </c>
      <c r="C412" s="18" t="n">
        <v>157</v>
      </c>
      <c r="D412" s="30" t="n">
        <v>1401.34</v>
      </c>
      <c r="E412" s="18" t="n">
        <v>25</v>
      </c>
    </row>
    <row r="413" customFormat="false" ht="15" hidden="false" customHeight="true" outlineLevel="0" collapsed="false">
      <c r="A413" s="18" t="s">
        <v>185</v>
      </c>
      <c r="B413" s="18" t="s">
        <v>295</v>
      </c>
      <c r="C413" s="18" t="n">
        <v>162</v>
      </c>
      <c r="D413" s="30" t="n">
        <v>1411.01</v>
      </c>
      <c r="E413" s="18" t="n">
        <v>26</v>
      </c>
    </row>
    <row r="414" customFormat="false" ht="15" hidden="false" customHeight="true" outlineLevel="0" collapsed="false">
      <c r="A414" s="18" t="s">
        <v>185</v>
      </c>
      <c r="B414" s="18" t="s">
        <v>296</v>
      </c>
      <c r="C414" s="18" t="n">
        <v>172</v>
      </c>
      <c r="D414" s="30" t="n">
        <v>1571</v>
      </c>
      <c r="E414" s="18" t="n">
        <v>27</v>
      </c>
    </row>
    <row r="415" customFormat="false" ht="15" hidden="false" customHeight="true" outlineLevel="0" collapsed="false">
      <c r="A415" s="18" t="s">
        <v>185</v>
      </c>
      <c r="B415" s="18" t="s">
        <v>297</v>
      </c>
      <c r="C415" s="18" t="n">
        <v>186</v>
      </c>
      <c r="D415" s="30" t="n">
        <v>1631.25</v>
      </c>
      <c r="E415" s="18" t="n">
        <v>28</v>
      </c>
    </row>
    <row r="416" customFormat="false" ht="15" hidden="false" customHeight="true" outlineLevel="0" collapsed="false">
      <c r="A416" s="18" t="s">
        <v>185</v>
      </c>
      <c r="B416" s="18" t="s">
        <v>298</v>
      </c>
      <c r="C416" s="18" t="n">
        <v>149</v>
      </c>
      <c r="D416" s="30" t="n">
        <v>1360.92</v>
      </c>
      <c r="E416" s="18" t="n">
        <v>29</v>
      </c>
    </row>
    <row r="417" customFormat="false" ht="15" hidden="false" customHeight="true" outlineLevel="0" collapsed="false">
      <c r="A417" s="18" t="s">
        <v>185</v>
      </c>
      <c r="B417" s="18" t="s">
        <v>299</v>
      </c>
      <c r="C417" s="18" t="n">
        <v>201</v>
      </c>
      <c r="D417" s="30" t="n">
        <v>1835.45</v>
      </c>
      <c r="E417" s="18" t="n">
        <v>30</v>
      </c>
    </row>
    <row r="418" customFormat="false" ht="15" hidden="false" customHeight="true" outlineLevel="0" collapsed="false">
      <c r="A418" s="18" t="s">
        <v>185</v>
      </c>
      <c r="B418" s="18" t="s">
        <v>300</v>
      </c>
      <c r="C418" s="18" t="n">
        <v>251</v>
      </c>
      <c r="D418" s="30" t="n">
        <v>2234.72</v>
      </c>
      <c r="E418" s="18" t="n">
        <v>31</v>
      </c>
    </row>
    <row r="419" customFormat="false" ht="15" hidden="false" customHeight="true" outlineLevel="0" collapsed="false">
      <c r="A419" s="18" t="s">
        <v>185</v>
      </c>
      <c r="B419" s="18" t="s">
        <v>301</v>
      </c>
      <c r="C419" s="18" t="n">
        <v>254</v>
      </c>
      <c r="D419" s="30" t="n">
        <v>2242.72</v>
      </c>
      <c r="E419" s="18" t="n">
        <v>32</v>
      </c>
    </row>
    <row r="420" customFormat="false" ht="15" hidden="false" customHeight="true" outlineLevel="0" collapsed="false">
      <c r="A420" s="18" t="s">
        <v>185</v>
      </c>
      <c r="B420" s="18" t="s">
        <v>302</v>
      </c>
      <c r="C420" s="18" t="n">
        <v>224</v>
      </c>
      <c r="D420" s="30" t="n">
        <v>2007.54</v>
      </c>
      <c r="E420" s="18" t="n">
        <v>33</v>
      </c>
    </row>
    <row r="421" customFormat="false" ht="15" hidden="false" customHeight="true" outlineLevel="0" collapsed="false">
      <c r="A421" s="18" t="s">
        <v>185</v>
      </c>
      <c r="B421" s="18" t="s">
        <v>303</v>
      </c>
      <c r="C421" s="18" t="n">
        <v>223</v>
      </c>
      <c r="D421" s="30" t="n">
        <v>1993.85</v>
      </c>
      <c r="E421" s="18" t="n">
        <v>34</v>
      </c>
    </row>
    <row r="422" customFormat="false" ht="15" hidden="false" customHeight="true" outlineLevel="0" collapsed="false">
      <c r="A422" s="18" t="s">
        <v>185</v>
      </c>
      <c r="B422" s="18" t="s">
        <v>304</v>
      </c>
      <c r="C422" s="18" t="n">
        <v>159</v>
      </c>
      <c r="D422" s="30" t="n">
        <v>1400.64</v>
      </c>
      <c r="E422" s="18" t="n">
        <v>35</v>
      </c>
    </row>
    <row r="423" customFormat="false" ht="15" hidden="false" customHeight="true" outlineLevel="0" collapsed="false">
      <c r="A423" s="18" t="s">
        <v>185</v>
      </c>
      <c r="B423" s="18" t="s">
        <v>305</v>
      </c>
      <c r="C423" s="18" t="n">
        <v>202</v>
      </c>
      <c r="D423" s="30" t="n">
        <v>1837.23</v>
      </c>
      <c r="E423" s="18" t="n">
        <v>36</v>
      </c>
    </row>
    <row r="424" customFormat="false" ht="15" hidden="false" customHeight="true" outlineLevel="0" collapsed="false">
      <c r="A424" s="18" t="s">
        <v>185</v>
      </c>
      <c r="B424" s="18" t="s">
        <v>306</v>
      </c>
      <c r="C424" s="18" t="n">
        <v>226</v>
      </c>
      <c r="D424" s="30" t="n">
        <v>1974.66</v>
      </c>
      <c r="E424" s="18" t="n">
        <v>37</v>
      </c>
    </row>
    <row r="425" customFormat="false" ht="15" hidden="false" customHeight="true" outlineLevel="0" collapsed="false">
      <c r="A425" s="18" t="s">
        <v>185</v>
      </c>
      <c r="B425" s="18" t="s">
        <v>307</v>
      </c>
      <c r="C425" s="18" t="n">
        <v>191</v>
      </c>
      <c r="D425" s="30" t="n">
        <v>1678.02</v>
      </c>
      <c r="E425" s="18" t="n">
        <v>38</v>
      </c>
    </row>
    <row r="426" customFormat="false" ht="15" hidden="false" customHeight="true" outlineLevel="0" collapsed="false">
      <c r="A426" s="18" t="s">
        <v>185</v>
      </c>
      <c r="B426" s="18" t="s">
        <v>308</v>
      </c>
      <c r="C426" s="18" t="n">
        <v>214</v>
      </c>
      <c r="D426" s="30" t="n">
        <v>1905.76</v>
      </c>
      <c r="E426" s="18" t="n">
        <v>39</v>
      </c>
    </row>
    <row r="427" customFormat="false" ht="15" hidden="false" customHeight="true" outlineLevel="0" collapsed="false">
      <c r="A427" s="18" t="s">
        <v>185</v>
      </c>
      <c r="B427" s="18" t="s">
        <v>309</v>
      </c>
      <c r="C427" s="18" t="n">
        <v>200</v>
      </c>
      <c r="D427" s="30" t="n">
        <v>1752.99</v>
      </c>
      <c r="E427" s="18" t="n">
        <v>40</v>
      </c>
    </row>
    <row r="428" customFormat="false" ht="15" hidden="false" customHeight="true" outlineLevel="0" collapsed="false">
      <c r="A428" s="18" t="s">
        <v>185</v>
      </c>
      <c r="B428" s="18" t="s">
        <v>310</v>
      </c>
      <c r="C428" s="18" t="n">
        <v>158</v>
      </c>
      <c r="D428" s="30" t="n">
        <v>1411.33</v>
      </c>
      <c r="E428" s="18" t="n">
        <v>41</v>
      </c>
    </row>
    <row r="429" customFormat="false" ht="15" hidden="false" customHeight="true" outlineLevel="0" collapsed="false">
      <c r="A429" s="18" t="s">
        <v>185</v>
      </c>
      <c r="B429" s="18" t="s">
        <v>311</v>
      </c>
      <c r="C429" s="18" t="n">
        <v>161</v>
      </c>
      <c r="D429" s="30" t="n">
        <v>1475.02</v>
      </c>
      <c r="E429" s="18" t="n">
        <v>42</v>
      </c>
    </row>
    <row r="430" customFormat="false" ht="15" hidden="false" customHeight="true" outlineLevel="0" collapsed="false">
      <c r="A430" s="18" t="s">
        <v>185</v>
      </c>
      <c r="B430" s="18" t="s">
        <v>312</v>
      </c>
      <c r="C430" s="18" t="n">
        <v>177</v>
      </c>
      <c r="D430" s="30" t="n">
        <v>1621.4</v>
      </c>
      <c r="E430" s="18" t="n">
        <v>43</v>
      </c>
    </row>
    <row r="431" customFormat="false" ht="15" hidden="false" customHeight="true" outlineLevel="0" collapsed="false">
      <c r="A431" s="18" t="s">
        <v>185</v>
      </c>
      <c r="B431" s="18" t="s">
        <v>313</v>
      </c>
      <c r="C431" s="18" t="n">
        <v>119</v>
      </c>
      <c r="D431" s="30" t="n">
        <v>1048.38</v>
      </c>
      <c r="E431" s="18" t="n">
        <v>44</v>
      </c>
    </row>
    <row r="432" customFormat="false" ht="15" hidden="false" customHeight="true" outlineLevel="0" collapsed="false">
      <c r="A432" s="18" t="s">
        <v>185</v>
      </c>
      <c r="B432" s="18" t="s">
        <v>314</v>
      </c>
      <c r="C432" s="18" t="n">
        <v>132</v>
      </c>
      <c r="D432" s="30" t="n">
        <v>1167.75</v>
      </c>
      <c r="E432" s="18" t="n">
        <v>45</v>
      </c>
    </row>
    <row r="433" customFormat="false" ht="15" hidden="false" customHeight="true" outlineLevel="0" collapsed="false">
      <c r="A433" s="18" t="s">
        <v>185</v>
      </c>
      <c r="B433" s="18" t="s">
        <v>315</v>
      </c>
      <c r="C433" s="18" t="n">
        <v>111</v>
      </c>
      <c r="D433" s="30" t="n">
        <v>998.52</v>
      </c>
      <c r="E433" s="18" t="n">
        <v>46</v>
      </c>
    </row>
    <row r="434" customFormat="false" ht="15" hidden="false" customHeight="true" outlineLevel="0" collapsed="false">
      <c r="A434" s="18" t="s">
        <v>185</v>
      </c>
      <c r="B434" s="18" t="s">
        <v>316</v>
      </c>
      <c r="C434" s="18" t="n">
        <v>122</v>
      </c>
      <c r="D434" s="30" t="n">
        <v>1114.67</v>
      </c>
      <c r="E434" s="18" t="n">
        <v>47</v>
      </c>
    </row>
    <row r="435" customFormat="false" ht="15" hidden="false" customHeight="true" outlineLevel="0" collapsed="false">
      <c r="A435" s="18" t="s">
        <v>185</v>
      </c>
      <c r="B435" s="18" t="s">
        <v>317</v>
      </c>
      <c r="C435" s="18" t="n">
        <v>169</v>
      </c>
      <c r="D435" s="30" t="n">
        <v>1471.23</v>
      </c>
      <c r="E435" s="18" t="n">
        <v>48</v>
      </c>
    </row>
    <row r="436" customFormat="false" ht="15" hidden="false" customHeight="true" outlineLevel="0" collapsed="false">
      <c r="A436" s="18" t="s">
        <v>185</v>
      </c>
      <c r="B436" s="18" t="s">
        <v>318</v>
      </c>
      <c r="C436" s="18" t="n">
        <v>138</v>
      </c>
      <c r="D436" s="30" t="n">
        <v>1244.01</v>
      </c>
      <c r="E436" s="18" t="n">
        <v>49</v>
      </c>
    </row>
    <row r="437" customFormat="false" ht="15" hidden="false" customHeight="true" outlineLevel="0" collapsed="false">
      <c r="A437" s="18" t="s">
        <v>185</v>
      </c>
      <c r="B437" s="18" t="s">
        <v>319</v>
      </c>
      <c r="C437" s="18" t="n">
        <v>117</v>
      </c>
      <c r="D437" s="30" t="n">
        <v>1033.24</v>
      </c>
      <c r="E437" s="18" t="n">
        <v>50</v>
      </c>
    </row>
    <row r="438" customFormat="false" ht="15" hidden="false" customHeight="true" outlineLevel="0" collapsed="false">
      <c r="A438" s="18" t="s">
        <v>185</v>
      </c>
      <c r="B438" s="18" t="s">
        <v>320</v>
      </c>
      <c r="C438" s="18" t="n">
        <v>141</v>
      </c>
      <c r="D438" s="30" t="n">
        <v>1282.91</v>
      </c>
      <c r="E438" s="18" t="n">
        <v>51</v>
      </c>
    </row>
    <row r="439" customFormat="false" ht="15" hidden="false" customHeight="true" outlineLevel="0" collapsed="false">
      <c r="A439" s="18" t="s">
        <v>185</v>
      </c>
      <c r="B439" s="18" t="s">
        <v>321</v>
      </c>
      <c r="C439" s="18" t="n">
        <v>138</v>
      </c>
      <c r="D439" s="30" t="n">
        <v>1241.02</v>
      </c>
      <c r="E439" s="18" t="n">
        <v>52</v>
      </c>
    </row>
    <row r="440" customFormat="false" ht="15" hidden="false" customHeight="true" outlineLevel="0" collapsed="false">
      <c r="A440" s="18" t="s">
        <v>188</v>
      </c>
      <c r="B440" s="18" t="s">
        <v>270</v>
      </c>
      <c r="C440" s="18" t="n">
        <v>104</v>
      </c>
      <c r="D440" s="30" t="n">
        <v>2927.1</v>
      </c>
      <c r="E440" s="18" t="n">
        <v>1</v>
      </c>
    </row>
    <row r="441" customFormat="false" ht="15" hidden="false" customHeight="true" outlineLevel="0" collapsed="false">
      <c r="A441" s="18" t="s">
        <v>188</v>
      </c>
      <c r="B441" s="18" t="s">
        <v>271</v>
      </c>
      <c r="C441" s="18" t="n">
        <v>104</v>
      </c>
      <c r="D441" s="30" t="n">
        <v>2809.69</v>
      </c>
      <c r="E441" s="18" t="n">
        <v>2</v>
      </c>
    </row>
    <row r="442" customFormat="false" ht="15" hidden="false" customHeight="true" outlineLevel="0" collapsed="false">
      <c r="A442" s="18" t="s">
        <v>188</v>
      </c>
      <c r="B442" s="18" t="s">
        <v>272</v>
      </c>
      <c r="C442" s="18" t="n">
        <v>83</v>
      </c>
      <c r="D442" s="30" t="n">
        <v>2366.27</v>
      </c>
      <c r="E442" s="18" t="n">
        <v>3</v>
      </c>
    </row>
    <row r="443" customFormat="false" ht="15" hidden="false" customHeight="true" outlineLevel="0" collapsed="false">
      <c r="A443" s="18" t="s">
        <v>188</v>
      </c>
      <c r="B443" s="18" t="s">
        <v>273</v>
      </c>
      <c r="C443" s="18" t="n">
        <v>106</v>
      </c>
      <c r="D443" s="30" t="n">
        <v>2894</v>
      </c>
      <c r="E443" s="18" t="n">
        <v>4</v>
      </c>
    </row>
    <row r="444" customFormat="false" ht="15" hidden="false" customHeight="true" outlineLevel="0" collapsed="false">
      <c r="A444" s="18" t="s">
        <v>188</v>
      </c>
      <c r="B444" s="18" t="s">
        <v>274</v>
      </c>
      <c r="C444" s="18" t="n">
        <v>102</v>
      </c>
      <c r="D444" s="30" t="n">
        <v>2835.58</v>
      </c>
      <c r="E444" s="18" t="n">
        <v>5</v>
      </c>
    </row>
    <row r="445" customFormat="false" ht="15" hidden="false" customHeight="true" outlineLevel="0" collapsed="false">
      <c r="A445" s="18" t="s">
        <v>188</v>
      </c>
      <c r="B445" s="18" t="s">
        <v>275</v>
      </c>
      <c r="C445" s="18" t="n">
        <v>118</v>
      </c>
      <c r="D445" s="30" t="n">
        <v>3372.18</v>
      </c>
      <c r="E445" s="18" t="n">
        <v>6</v>
      </c>
    </row>
    <row r="446" customFormat="false" ht="15" hidden="false" customHeight="true" outlineLevel="0" collapsed="false">
      <c r="A446" s="18" t="s">
        <v>188</v>
      </c>
      <c r="B446" s="18" t="s">
        <v>276</v>
      </c>
      <c r="C446" s="18" t="n">
        <v>115</v>
      </c>
      <c r="D446" s="30" t="n">
        <v>3148.02</v>
      </c>
      <c r="E446" s="18" t="n">
        <v>7</v>
      </c>
    </row>
    <row r="447" customFormat="false" ht="15" hidden="false" customHeight="true" outlineLevel="0" collapsed="false">
      <c r="A447" s="18" t="s">
        <v>188</v>
      </c>
      <c r="B447" s="18" t="s">
        <v>277</v>
      </c>
      <c r="C447" s="18" t="n">
        <v>131</v>
      </c>
      <c r="D447" s="30" t="n">
        <v>3581.69</v>
      </c>
      <c r="E447" s="18" t="n">
        <v>8</v>
      </c>
    </row>
    <row r="448" customFormat="false" ht="15" hidden="false" customHeight="true" outlineLevel="0" collapsed="false">
      <c r="A448" s="18" t="s">
        <v>188</v>
      </c>
      <c r="B448" s="18" t="s">
        <v>278</v>
      </c>
      <c r="C448" s="18" t="n">
        <v>94</v>
      </c>
      <c r="D448" s="30" t="n">
        <v>2572.99</v>
      </c>
      <c r="E448" s="18" t="n">
        <v>9</v>
      </c>
    </row>
    <row r="449" customFormat="false" ht="15" hidden="false" customHeight="true" outlineLevel="0" collapsed="false">
      <c r="A449" s="18" t="s">
        <v>188</v>
      </c>
      <c r="B449" s="18" t="s">
        <v>279</v>
      </c>
      <c r="C449" s="18" t="n">
        <v>91</v>
      </c>
      <c r="D449" s="30" t="n">
        <v>2489.79</v>
      </c>
      <c r="E449" s="18" t="n">
        <v>10</v>
      </c>
    </row>
    <row r="450" customFormat="false" ht="15" hidden="false" customHeight="true" outlineLevel="0" collapsed="false">
      <c r="A450" s="18" t="s">
        <v>188</v>
      </c>
      <c r="B450" s="18" t="s">
        <v>280</v>
      </c>
      <c r="C450" s="18" t="n">
        <v>97</v>
      </c>
      <c r="D450" s="30" t="n">
        <v>2648.96</v>
      </c>
      <c r="E450" s="18" t="n">
        <v>11</v>
      </c>
    </row>
    <row r="451" customFormat="false" ht="15" hidden="false" customHeight="true" outlineLevel="0" collapsed="false">
      <c r="A451" s="18" t="s">
        <v>188</v>
      </c>
      <c r="B451" s="18" t="s">
        <v>281</v>
      </c>
      <c r="C451" s="18" t="n">
        <v>100</v>
      </c>
      <c r="D451" s="30" t="n">
        <v>2845.2</v>
      </c>
      <c r="E451" s="18" t="n">
        <v>12</v>
      </c>
    </row>
    <row r="452" customFormat="false" ht="15" hidden="false" customHeight="true" outlineLevel="0" collapsed="false">
      <c r="A452" s="18" t="s">
        <v>188</v>
      </c>
      <c r="B452" s="18" t="s">
        <v>282</v>
      </c>
      <c r="C452" s="18" t="n">
        <v>91</v>
      </c>
      <c r="D452" s="30" t="n">
        <v>2513.18</v>
      </c>
      <c r="E452" s="18" t="n">
        <v>13</v>
      </c>
    </row>
    <row r="453" customFormat="false" ht="15" hidden="false" customHeight="true" outlineLevel="0" collapsed="false">
      <c r="A453" s="18" t="s">
        <v>188</v>
      </c>
      <c r="B453" s="18" t="s">
        <v>283</v>
      </c>
      <c r="C453" s="18" t="n">
        <v>86</v>
      </c>
      <c r="D453" s="30" t="n">
        <v>2374.6</v>
      </c>
      <c r="E453" s="18" t="n">
        <v>14</v>
      </c>
    </row>
    <row r="454" customFormat="false" ht="15" hidden="false" customHeight="true" outlineLevel="0" collapsed="false">
      <c r="A454" s="18" t="s">
        <v>188</v>
      </c>
      <c r="B454" s="18" t="s">
        <v>284</v>
      </c>
      <c r="C454" s="18" t="n">
        <v>98</v>
      </c>
      <c r="D454" s="30" t="n">
        <v>2747.39</v>
      </c>
      <c r="E454" s="18" t="n">
        <v>15</v>
      </c>
    </row>
    <row r="455" customFormat="false" ht="15" hidden="false" customHeight="true" outlineLevel="0" collapsed="false">
      <c r="A455" s="18" t="s">
        <v>188</v>
      </c>
      <c r="B455" s="18" t="s">
        <v>285</v>
      </c>
      <c r="C455" s="18" t="n">
        <v>87</v>
      </c>
      <c r="D455" s="30" t="n">
        <v>2479.41</v>
      </c>
      <c r="E455" s="18" t="n">
        <v>16</v>
      </c>
    </row>
    <row r="456" customFormat="false" ht="15" hidden="false" customHeight="true" outlineLevel="0" collapsed="false">
      <c r="A456" s="18" t="s">
        <v>188</v>
      </c>
      <c r="B456" s="18" t="s">
        <v>286</v>
      </c>
      <c r="C456" s="18" t="n">
        <v>82</v>
      </c>
      <c r="D456" s="30" t="n">
        <v>2228.87</v>
      </c>
      <c r="E456" s="18" t="n">
        <v>17</v>
      </c>
    </row>
    <row r="457" customFormat="false" ht="15" hidden="false" customHeight="true" outlineLevel="0" collapsed="false">
      <c r="A457" s="18" t="s">
        <v>188</v>
      </c>
      <c r="B457" s="18" t="s">
        <v>287</v>
      </c>
      <c r="C457" s="18" t="n">
        <v>74</v>
      </c>
      <c r="D457" s="30" t="n">
        <v>2013.33</v>
      </c>
      <c r="E457" s="18" t="n">
        <v>18</v>
      </c>
    </row>
    <row r="458" customFormat="false" ht="15" hidden="false" customHeight="true" outlineLevel="0" collapsed="false">
      <c r="A458" s="18" t="s">
        <v>188</v>
      </c>
      <c r="B458" s="18" t="s">
        <v>288</v>
      </c>
      <c r="C458" s="18" t="n">
        <v>64</v>
      </c>
      <c r="D458" s="30" t="n">
        <v>1741.97</v>
      </c>
      <c r="E458" s="18" t="n">
        <v>19</v>
      </c>
    </row>
    <row r="459" customFormat="false" ht="15" hidden="false" customHeight="true" outlineLevel="0" collapsed="false">
      <c r="A459" s="18" t="s">
        <v>188</v>
      </c>
      <c r="B459" s="18" t="s">
        <v>289</v>
      </c>
      <c r="C459" s="18" t="n">
        <v>101</v>
      </c>
      <c r="D459" s="30" t="n">
        <v>2855.76</v>
      </c>
      <c r="E459" s="18" t="n">
        <v>20</v>
      </c>
    </row>
    <row r="460" customFormat="false" ht="15" hidden="false" customHeight="true" outlineLevel="0" collapsed="false">
      <c r="A460" s="18" t="s">
        <v>188</v>
      </c>
      <c r="B460" s="18" t="s">
        <v>290</v>
      </c>
      <c r="C460" s="18" t="n">
        <v>101</v>
      </c>
      <c r="D460" s="30" t="n">
        <v>2817.25</v>
      </c>
      <c r="E460" s="18" t="n">
        <v>21</v>
      </c>
    </row>
    <row r="461" customFormat="false" ht="15" hidden="false" customHeight="true" outlineLevel="0" collapsed="false">
      <c r="A461" s="18" t="s">
        <v>188</v>
      </c>
      <c r="B461" s="18" t="s">
        <v>291</v>
      </c>
      <c r="C461" s="18" t="n">
        <v>96</v>
      </c>
      <c r="D461" s="30" t="n">
        <v>2600.48</v>
      </c>
      <c r="E461" s="18" t="n">
        <v>22</v>
      </c>
    </row>
    <row r="462" customFormat="false" ht="15" hidden="false" customHeight="true" outlineLevel="0" collapsed="false">
      <c r="A462" s="18" t="s">
        <v>188</v>
      </c>
      <c r="B462" s="18" t="s">
        <v>292</v>
      </c>
      <c r="C462" s="18" t="n">
        <v>95</v>
      </c>
      <c r="D462" s="30" t="n">
        <v>2617.8</v>
      </c>
      <c r="E462" s="18" t="n">
        <v>23</v>
      </c>
    </row>
    <row r="463" customFormat="false" ht="15" hidden="false" customHeight="true" outlineLevel="0" collapsed="false">
      <c r="A463" s="18" t="s">
        <v>188</v>
      </c>
      <c r="B463" s="18" t="s">
        <v>293</v>
      </c>
      <c r="C463" s="18" t="n">
        <v>85</v>
      </c>
      <c r="D463" s="30" t="n">
        <v>2378.17</v>
      </c>
      <c r="E463" s="18" t="n">
        <v>24</v>
      </c>
    </row>
    <row r="464" customFormat="false" ht="15" hidden="false" customHeight="true" outlineLevel="0" collapsed="false">
      <c r="A464" s="18" t="s">
        <v>188</v>
      </c>
      <c r="B464" s="18" t="s">
        <v>294</v>
      </c>
      <c r="C464" s="18" t="n">
        <v>100</v>
      </c>
      <c r="D464" s="30" t="n">
        <v>2729.91</v>
      </c>
      <c r="E464" s="18" t="n">
        <v>25</v>
      </c>
    </row>
    <row r="465" customFormat="false" ht="15" hidden="false" customHeight="true" outlineLevel="0" collapsed="false">
      <c r="A465" s="18" t="s">
        <v>188</v>
      </c>
      <c r="B465" s="18" t="s">
        <v>295</v>
      </c>
      <c r="C465" s="18" t="n">
        <v>83</v>
      </c>
      <c r="D465" s="30" t="n">
        <v>2311.36</v>
      </c>
      <c r="E465" s="18" t="n">
        <v>26</v>
      </c>
    </row>
    <row r="466" customFormat="false" ht="15" hidden="false" customHeight="true" outlineLevel="0" collapsed="false">
      <c r="A466" s="18" t="s">
        <v>188</v>
      </c>
      <c r="B466" s="18" t="s">
        <v>296</v>
      </c>
      <c r="C466" s="18" t="n">
        <v>100</v>
      </c>
      <c r="D466" s="30" t="n">
        <v>2767.88</v>
      </c>
      <c r="E466" s="18" t="n">
        <v>27</v>
      </c>
    </row>
    <row r="467" customFormat="false" ht="15" hidden="false" customHeight="true" outlineLevel="0" collapsed="false">
      <c r="A467" s="18" t="s">
        <v>188</v>
      </c>
      <c r="B467" s="18" t="s">
        <v>297</v>
      </c>
      <c r="C467" s="18" t="n">
        <v>92</v>
      </c>
      <c r="D467" s="30" t="n">
        <v>2505.02</v>
      </c>
      <c r="E467" s="18" t="n">
        <v>28</v>
      </c>
    </row>
    <row r="468" customFormat="false" ht="15" hidden="false" customHeight="true" outlineLevel="0" collapsed="false">
      <c r="A468" s="18" t="s">
        <v>188</v>
      </c>
      <c r="B468" s="18" t="s">
        <v>298</v>
      </c>
      <c r="C468" s="18" t="n">
        <v>112</v>
      </c>
      <c r="D468" s="30" t="n">
        <v>3061.78</v>
      </c>
      <c r="E468" s="18" t="n">
        <v>29</v>
      </c>
    </row>
    <row r="469" customFormat="false" ht="15" hidden="false" customHeight="true" outlineLevel="0" collapsed="false">
      <c r="A469" s="18" t="s">
        <v>188</v>
      </c>
      <c r="B469" s="18" t="s">
        <v>299</v>
      </c>
      <c r="C469" s="18" t="n">
        <v>127</v>
      </c>
      <c r="D469" s="30" t="n">
        <v>3614.65</v>
      </c>
      <c r="E469" s="18" t="n">
        <v>30</v>
      </c>
    </row>
    <row r="470" customFormat="false" ht="15" hidden="false" customHeight="true" outlineLevel="0" collapsed="false">
      <c r="A470" s="18" t="s">
        <v>188</v>
      </c>
      <c r="B470" s="18" t="s">
        <v>300</v>
      </c>
      <c r="C470" s="18" t="n">
        <v>96</v>
      </c>
      <c r="D470" s="30" t="n">
        <v>2650.93</v>
      </c>
      <c r="E470" s="18" t="n">
        <v>31</v>
      </c>
    </row>
    <row r="471" customFormat="false" ht="15" hidden="false" customHeight="true" outlineLevel="0" collapsed="false">
      <c r="A471" s="18" t="s">
        <v>188</v>
      </c>
      <c r="B471" s="18" t="s">
        <v>301</v>
      </c>
      <c r="C471" s="18" t="n">
        <v>104</v>
      </c>
      <c r="D471" s="30" t="n">
        <v>2884.5</v>
      </c>
      <c r="E471" s="18" t="n">
        <v>32</v>
      </c>
    </row>
    <row r="472" customFormat="false" ht="15" hidden="false" customHeight="true" outlineLevel="0" collapsed="false">
      <c r="A472" s="18" t="s">
        <v>188</v>
      </c>
      <c r="B472" s="18" t="s">
        <v>302</v>
      </c>
      <c r="C472" s="18" t="n">
        <v>113</v>
      </c>
      <c r="D472" s="30" t="n">
        <v>3227.63</v>
      </c>
      <c r="E472" s="18" t="n">
        <v>33</v>
      </c>
    </row>
    <row r="473" customFormat="false" ht="15" hidden="false" customHeight="true" outlineLevel="0" collapsed="false">
      <c r="A473" s="18" t="s">
        <v>188</v>
      </c>
      <c r="B473" s="18" t="s">
        <v>303</v>
      </c>
      <c r="C473" s="18" t="n">
        <v>88</v>
      </c>
      <c r="D473" s="30" t="n">
        <v>2434.84</v>
      </c>
      <c r="E473" s="18" t="n">
        <v>34</v>
      </c>
    </row>
    <row r="474" customFormat="false" ht="15" hidden="false" customHeight="true" outlineLevel="0" collapsed="false">
      <c r="A474" s="18" t="s">
        <v>188</v>
      </c>
      <c r="B474" s="18" t="s">
        <v>304</v>
      </c>
      <c r="C474" s="18" t="n">
        <v>91</v>
      </c>
      <c r="D474" s="30" t="n">
        <v>2526.91</v>
      </c>
      <c r="E474" s="18" t="n">
        <v>35</v>
      </c>
    </row>
    <row r="475" customFormat="false" ht="15" hidden="false" customHeight="true" outlineLevel="0" collapsed="false">
      <c r="A475" s="18" t="s">
        <v>188</v>
      </c>
      <c r="B475" s="18" t="s">
        <v>305</v>
      </c>
      <c r="C475" s="18" t="n">
        <v>131</v>
      </c>
      <c r="D475" s="30" t="n">
        <v>3639.99</v>
      </c>
      <c r="E475" s="18" t="n">
        <v>36</v>
      </c>
    </row>
    <row r="476" customFormat="false" ht="15" hidden="false" customHeight="true" outlineLevel="0" collapsed="false">
      <c r="A476" s="18" t="s">
        <v>188</v>
      </c>
      <c r="B476" s="18" t="s">
        <v>306</v>
      </c>
      <c r="C476" s="18" t="n">
        <v>113</v>
      </c>
      <c r="D476" s="30" t="n">
        <v>3157.32</v>
      </c>
      <c r="E476" s="18" t="n">
        <v>37</v>
      </c>
    </row>
    <row r="477" customFormat="false" ht="15" hidden="false" customHeight="true" outlineLevel="0" collapsed="false">
      <c r="A477" s="18" t="s">
        <v>188</v>
      </c>
      <c r="B477" s="18" t="s">
        <v>307</v>
      </c>
      <c r="C477" s="18" t="n">
        <v>99</v>
      </c>
      <c r="D477" s="30" t="n">
        <v>2731.63</v>
      </c>
      <c r="E477" s="18" t="n">
        <v>38</v>
      </c>
    </row>
    <row r="478" customFormat="false" ht="15" hidden="false" customHeight="true" outlineLevel="0" collapsed="false">
      <c r="A478" s="18" t="s">
        <v>188</v>
      </c>
      <c r="B478" s="18" t="s">
        <v>308</v>
      </c>
      <c r="C478" s="18" t="n">
        <v>104</v>
      </c>
      <c r="D478" s="30" t="n">
        <v>2825.95</v>
      </c>
      <c r="E478" s="18" t="n">
        <v>39</v>
      </c>
    </row>
    <row r="479" customFormat="false" ht="15" hidden="false" customHeight="true" outlineLevel="0" collapsed="false">
      <c r="A479" s="18" t="s">
        <v>188</v>
      </c>
      <c r="B479" s="18" t="s">
        <v>309</v>
      </c>
      <c r="C479" s="18" t="n">
        <v>96</v>
      </c>
      <c r="D479" s="30" t="n">
        <v>2709.39</v>
      </c>
      <c r="E479" s="18" t="n">
        <v>40</v>
      </c>
    </row>
    <row r="480" customFormat="false" ht="15" hidden="false" customHeight="true" outlineLevel="0" collapsed="false">
      <c r="A480" s="18" t="s">
        <v>188</v>
      </c>
      <c r="B480" s="18" t="s">
        <v>310</v>
      </c>
      <c r="C480" s="18" t="n">
        <v>101</v>
      </c>
      <c r="D480" s="30" t="n">
        <v>2764.67</v>
      </c>
      <c r="E480" s="18" t="n">
        <v>41</v>
      </c>
    </row>
    <row r="481" customFormat="false" ht="15" hidden="false" customHeight="true" outlineLevel="0" collapsed="false">
      <c r="A481" s="18" t="s">
        <v>188</v>
      </c>
      <c r="B481" s="18" t="s">
        <v>311</v>
      </c>
      <c r="C481" s="18" t="n">
        <v>92</v>
      </c>
      <c r="D481" s="30" t="n">
        <v>2601.48</v>
      </c>
      <c r="E481" s="18" t="n">
        <v>42</v>
      </c>
    </row>
    <row r="482" customFormat="false" ht="15" hidden="false" customHeight="true" outlineLevel="0" collapsed="false">
      <c r="A482" s="18" t="s">
        <v>188</v>
      </c>
      <c r="B482" s="18" t="s">
        <v>312</v>
      </c>
      <c r="C482" s="18" t="n">
        <v>94</v>
      </c>
      <c r="D482" s="30" t="n">
        <v>2669.23</v>
      </c>
      <c r="E482" s="18" t="n">
        <v>43</v>
      </c>
    </row>
    <row r="483" customFormat="false" ht="15" hidden="false" customHeight="true" outlineLevel="0" collapsed="false">
      <c r="A483" s="18" t="s">
        <v>188</v>
      </c>
      <c r="B483" s="18" t="s">
        <v>313</v>
      </c>
      <c r="C483" s="18" t="n">
        <v>101</v>
      </c>
      <c r="D483" s="30" t="n">
        <v>2829.29</v>
      </c>
      <c r="E483" s="18" t="n">
        <v>44</v>
      </c>
    </row>
    <row r="484" customFormat="false" ht="15" hidden="false" customHeight="true" outlineLevel="0" collapsed="false">
      <c r="A484" s="18" t="s">
        <v>188</v>
      </c>
      <c r="B484" s="18" t="s">
        <v>314</v>
      </c>
      <c r="C484" s="18" t="n">
        <v>99</v>
      </c>
      <c r="D484" s="30" t="n">
        <v>2683.13</v>
      </c>
      <c r="E484" s="18" t="n">
        <v>45</v>
      </c>
    </row>
    <row r="485" customFormat="false" ht="15" hidden="false" customHeight="true" outlineLevel="0" collapsed="false">
      <c r="A485" s="18" t="s">
        <v>188</v>
      </c>
      <c r="B485" s="18" t="s">
        <v>315</v>
      </c>
      <c r="C485" s="18" t="n">
        <v>108</v>
      </c>
      <c r="D485" s="30" t="n">
        <v>2988.4</v>
      </c>
      <c r="E485" s="18" t="n">
        <v>46</v>
      </c>
    </row>
    <row r="486" customFormat="false" ht="15" hidden="false" customHeight="true" outlineLevel="0" collapsed="false">
      <c r="A486" s="18" t="s">
        <v>188</v>
      </c>
      <c r="B486" s="18" t="s">
        <v>316</v>
      </c>
      <c r="C486" s="18" t="n">
        <v>96</v>
      </c>
      <c r="D486" s="30" t="n">
        <v>2686.27</v>
      </c>
      <c r="E486" s="18" t="n">
        <v>47</v>
      </c>
    </row>
    <row r="487" customFormat="false" ht="15" hidden="false" customHeight="true" outlineLevel="0" collapsed="false">
      <c r="A487" s="18" t="s">
        <v>188</v>
      </c>
      <c r="B487" s="18" t="s">
        <v>317</v>
      </c>
      <c r="C487" s="18" t="n">
        <v>93</v>
      </c>
      <c r="D487" s="30" t="n">
        <v>2518.34</v>
      </c>
      <c r="E487" s="18" t="n">
        <v>48</v>
      </c>
    </row>
    <row r="488" customFormat="false" ht="15" hidden="false" customHeight="true" outlineLevel="0" collapsed="false">
      <c r="A488" s="18" t="s">
        <v>188</v>
      </c>
      <c r="B488" s="18" t="s">
        <v>318</v>
      </c>
      <c r="C488" s="18" t="n">
        <v>112</v>
      </c>
      <c r="D488" s="30" t="n">
        <v>3130.93</v>
      </c>
      <c r="E488" s="18" t="n">
        <v>49</v>
      </c>
    </row>
    <row r="489" customFormat="false" ht="15" hidden="false" customHeight="true" outlineLevel="0" collapsed="false">
      <c r="A489" s="18" t="s">
        <v>188</v>
      </c>
      <c r="B489" s="18" t="s">
        <v>319</v>
      </c>
      <c r="C489" s="18" t="n">
        <v>94</v>
      </c>
      <c r="D489" s="30" t="n">
        <v>2656.14</v>
      </c>
      <c r="E489" s="18" t="n">
        <v>50</v>
      </c>
    </row>
    <row r="490" customFormat="false" ht="15" hidden="false" customHeight="true" outlineLevel="0" collapsed="false">
      <c r="A490" s="18" t="s">
        <v>188</v>
      </c>
      <c r="B490" s="18" t="s">
        <v>320</v>
      </c>
      <c r="C490" s="18" t="n">
        <v>73</v>
      </c>
      <c r="D490" s="30" t="n">
        <v>2032.61</v>
      </c>
      <c r="E490" s="18" t="n">
        <v>51</v>
      </c>
    </row>
    <row r="491" customFormat="false" ht="15" hidden="false" customHeight="true" outlineLevel="0" collapsed="false">
      <c r="A491" s="18" t="s">
        <v>188</v>
      </c>
      <c r="B491" s="18" t="s">
        <v>321</v>
      </c>
      <c r="C491" s="18" t="n">
        <v>111</v>
      </c>
      <c r="D491" s="30" t="n">
        <v>2999.62</v>
      </c>
      <c r="E491" s="18" t="n">
        <v>52</v>
      </c>
    </row>
    <row r="492" customFormat="false" ht="15" hidden="false" customHeight="true" outlineLevel="0" collapsed="false">
      <c r="A492" s="18" t="s">
        <v>192</v>
      </c>
      <c r="B492" s="18" t="s">
        <v>301</v>
      </c>
      <c r="C492" s="18" t="n">
        <v>254</v>
      </c>
      <c r="D492" s="30" t="n">
        <v>8018.51</v>
      </c>
      <c r="E492" s="18" t="n">
        <v>1</v>
      </c>
    </row>
    <row r="493" customFormat="false" ht="15" hidden="false" customHeight="true" outlineLevel="0" collapsed="false">
      <c r="A493" s="18" t="s">
        <v>192</v>
      </c>
      <c r="B493" s="18" t="s">
        <v>302</v>
      </c>
      <c r="C493" s="18" t="n">
        <v>222</v>
      </c>
      <c r="D493" s="30" t="n">
        <v>7223.43</v>
      </c>
      <c r="E493" s="18" t="n">
        <v>2</v>
      </c>
    </row>
    <row r="494" customFormat="false" ht="15" hidden="false" customHeight="true" outlineLevel="0" collapsed="false">
      <c r="A494" s="18" t="s">
        <v>192</v>
      </c>
      <c r="B494" s="18" t="s">
        <v>303</v>
      </c>
      <c r="C494" s="18" t="n">
        <v>175</v>
      </c>
      <c r="D494" s="30" t="n">
        <v>5614.01</v>
      </c>
      <c r="E494" s="18" t="n">
        <v>3</v>
      </c>
    </row>
    <row r="495" customFormat="false" ht="15" hidden="false" customHeight="true" outlineLevel="0" collapsed="false">
      <c r="A495" s="18" t="s">
        <v>192</v>
      </c>
      <c r="B495" s="18" t="s">
        <v>304</v>
      </c>
      <c r="C495" s="18" t="n">
        <v>259</v>
      </c>
      <c r="D495" s="30" t="n">
        <v>8521.19</v>
      </c>
      <c r="E495" s="18" t="n">
        <v>4</v>
      </c>
    </row>
    <row r="496" customFormat="false" ht="15" hidden="false" customHeight="true" outlineLevel="0" collapsed="false">
      <c r="A496" s="18" t="s">
        <v>192</v>
      </c>
      <c r="B496" s="18" t="s">
        <v>305</v>
      </c>
      <c r="C496" s="18" t="n">
        <v>214</v>
      </c>
      <c r="D496" s="30" t="n">
        <v>6721.74</v>
      </c>
      <c r="E496" s="18" t="n">
        <v>5</v>
      </c>
    </row>
    <row r="497" customFormat="false" ht="15" hidden="false" customHeight="true" outlineLevel="0" collapsed="false">
      <c r="A497" s="18" t="s">
        <v>192</v>
      </c>
      <c r="B497" s="18" t="s">
        <v>306</v>
      </c>
      <c r="C497" s="18" t="n">
        <v>203</v>
      </c>
      <c r="D497" s="30" t="n">
        <v>6645.46</v>
      </c>
      <c r="E497" s="18" t="n">
        <v>6</v>
      </c>
    </row>
    <row r="498" customFormat="false" ht="15" hidden="false" customHeight="true" outlineLevel="0" collapsed="false">
      <c r="A498" s="18" t="s">
        <v>192</v>
      </c>
      <c r="B498" s="18" t="s">
        <v>307</v>
      </c>
      <c r="C498" s="18" t="n">
        <v>169</v>
      </c>
      <c r="D498" s="30" t="n">
        <v>5510.62</v>
      </c>
      <c r="E498" s="18" t="n">
        <v>7</v>
      </c>
    </row>
    <row r="499" customFormat="false" ht="15" hidden="false" customHeight="true" outlineLevel="0" collapsed="false">
      <c r="A499" s="18" t="s">
        <v>192</v>
      </c>
      <c r="B499" s="18" t="s">
        <v>308</v>
      </c>
      <c r="C499" s="18" t="n">
        <v>241</v>
      </c>
      <c r="D499" s="30" t="n">
        <v>7744.22</v>
      </c>
      <c r="E499" s="18" t="n">
        <v>8</v>
      </c>
    </row>
    <row r="500" customFormat="false" ht="15" hidden="false" customHeight="true" outlineLevel="0" collapsed="false">
      <c r="A500" s="18" t="s">
        <v>192</v>
      </c>
      <c r="B500" s="18" t="s">
        <v>309</v>
      </c>
      <c r="C500" s="18" t="n">
        <v>151</v>
      </c>
      <c r="D500" s="30" t="n">
        <v>4864.6</v>
      </c>
      <c r="E500" s="18" t="n">
        <v>9</v>
      </c>
    </row>
    <row r="501" customFormat="false" ht="15" hidden="false" customHeight="true" outlineLevel="0" collapsed="false">
      <c r="A501" s="18" t="s">
        <v>192</v>
      </c>
      <c r="B501" s="18" t="s">
        <v>310</v>
      </c>
      <c r="C501" s="18" t="n">
        <v>241</v>
      </c>
      <c r="D501" s="30" t="n">
        <v>7654.23</v>
      </c>
      <c r="E501" s="18" t="n">
        <v>10</v>
      </c>
    </row>
    <row r="502" customFormat="false" ht="15" hidden="false" customHeight="true" outlineLevel="0" collapsed="false">
      <c r="A502" s="18" t="s">
        <v>192</v>
      </c>
      <c r="B502" s="18" t="s">
        <v>311</v>
      </c>
      <c r="C502" s="18" t="n">
        <v>196</v>
      </c>
      <c r="D502" s="30" t="n">
        <v>6130.31</v>
      </c>
      <c r="E502" s="18" t="n">
        <v>11</v>
      </c>
    </row>
    <row r="503" customFormat="false" ht="15" hidden="false" customHeight="true" outlineLevel="0" collapsed="false">
      <c r="A503" s="18" t="s">
        <v>192</v>
      </c>
      <c r="B503" s="18" t="s">
        <v>312</v>
      </c>
      <c r="C503" s="18" t="n">
        <v>220</v>
      </c>
      <c r="D503" s="30" t="n">
        <v>7184.9</v>
      </c>
      <c r="E503" s="18" t="n">
        <v>12</v>
      </c>
    </row>
    <row r="504" customFormat="false" ht="15" hidden="false" customHeight="true" outlineLevel="0" collapsed="false">
      <c r="A504" s="18" t="s">
        <v>192</v>
      </c>
      <c r="B504" s="18" t="s">
        <v>313</v>
      </c>
      <c r="C504" s="18" t="n">
        <v>206</v>
      </c>
      <c r="D504" s="30" t="n">
        <v>6516.43</v>
      </c>
      <c r="E504" s="18" t="n">
        <v>13</v>
      </c>
    </row>
    <row r="505" customFormat="false" ht="15" hidden="false" customHeight="true" outlineLevel="0" collapsed="false">
      <c r="A505" s="18" t="s">
        <v>192</v>
      </c>
      <c r="B505" s="18" t="s">
        <v>314</v>
      </c>
      <c r="C505" s="18" t="n">
        <v>237</v>
      </c>
      <c r="D505" s="30" t="n">
        <v>7369.69</v>
      </c>
      <c r="E505" s="18" t="n">
        <v>14</v>
      </c>
    </row>
    <row r="506" customFormat="false" ht="15" hidden="false" customHeight="true" outlineLevel="0" collapsed="false">
      <c r="A506" s="18" t="s">
        <v>192</v>
      </c>
      <c r="B506" s="18" t="s">
        <v>315</v>
      </c>
      <c r="C506" s="18" t="n">
        <v>203</v>
      </c>
      <c r="D506" s="30" t="n">
        <v>6483.87</v>
      </c>
      <c r="E506" s="18" t="n">
        <v>15</v>
      </c>
    </row>
    <row r="507" customFormat="false" ht="15" hidden="false" customHeight="true" outlineLevel="0" collapsed="false">
      <c r="A507" s="18" t="s">
        <v>192</v>
      </c>
      <c r="B507" s="18" t="s">
        <v>316</v>
      </c>
      <c r="C507" s="18" t="n">
        <v>223</v>
      </c>
      <c r="D507" s="30" t="n">
        <v>6994.06</v>
      </c>
      <c r="E507" s="18" t="n">
        <v>16</v>
      </c>
    </row>
    <row r="508" customFormat="false" ht="15" hidden="false" customHeight="true" outlineLevel="0" collapsed="false">
      <c r="A508" s="18" t="s">
        <v>192</v>
      </c>
      <c r="B508" s="18" t="s">
        <v>317</v>
      </c>
      <c r="C508" s="18" t="n">
        <v>184</v>
      </c>
      <c r="D508" s="30" t="n">
        <v>5846.28</v>
      </c>
      <c r="E508" s="18" t="n">
        <v>17</v>
      </c>
    </row>
    <row r="509" customFormat="false" ht="15" hidden="false" customHeight="true" outlineLevel="0" collapsed="false">
      <c r="A509" s="18" t="s">
        <v>192</v>
      </c>
      <c r="B509" s="18" t="s">
        <v>318</v>
      </c>
      <c r="C509" s="18" t="n">
        <v>164</v>
      </c>
      <c r="D509" s="30" t="n">
        <v>5104.78</v>
      </c>
      <c r="E509" s="18" t="n">
        <v>18</v>
      </c>
    </row>
    <row r="510" customFormat="false" ht="15" hidden="false" customHeight="true" outlineLevel="0" collapsed="false">
      <c r="A510" s="18" t="s">
        <v>192</v>
      </c>
      <c r="B510" s="18" t="s">
        <v>319</v>
      </c>
      <c r="C510" s="18" t="n">
        <v>231</v>
      </c>
      <c r="D510" s="30" t="n">
        <v>7404.18</v>
      </c>
      <c r="E510" s="18" t="n">
        <v>19</v>
      </c>
    </row>
    <row r="511" customFormat="false" ht="15" hidden="false" customHeight="true" outlineLevel="0" collapsed="false">
      <c r="A511" s="18" t="s">
        <v>192</v>
      </c>
      <c r="B511" s="18" t="s">
        <v>320</v>
      </c>
      <c r="C511" s="18" t="n">
        <v>173</v>
      </c>
      <c r="D511" s="30" t="n">
        <v>5417.99</v>
      </c>
      <c r="E511" s="18" t="n">
        <v>20</v>
      </c>
    </row>
    <row r="512" customFormat="false" ht="15" hidden="false" customHeight="true" outlineLevel="0" collapsed="false">
      <c r="A512" s="18" t="s">
        <v>192</v>
      </c>
      <c r="B512" s="18" t="s">
        <v>321</v>
      </c>
      <c r="C512" s="18" t="n">
        <v>240</v>
      </c>
      <c r="D512" s="30" t="n">
        <v>7610.56</v>
      </c>
      <c r="E512" s="18" t="n">
        <v>21</v>
      </c>
    </row>
    <row r="513" customFormat="false" ht="15" hidden="false" customHeight="true" outlineLevel="0" collapsed="false">
      <c r="A513" s="18" t="s">
        <v>195</v>
      </c>
      <c r="B513" s="18" t="s">
        <v>270</v>
      </c>
      <c r="C513" s="18" t="n">
        <v>77</v>
      </c>
      <c r="D513" s="30" t="n">
        <v>2616.7</v>
      </c>
      <c r="E513" s="18" t="n">
        <v>1</v>
      </c>
    </row>
    <row r="514" customFormat="false" ht="15" hidden="false" customHeight="true" outlineLevel="0" collapsed="false">
      <c r="A514" s="18" t="s">
        <v>195</v>
      </c>
      <c r="B514" s="18" t="s">
        <v>271</v>
      </c>
      <c r="C514" s="18" t="n">
        <v>52</v>
      </c>
      <c r="D514" s="30" t="n">
        <v>1853.12</v>
      </c>
      <c r="E514" s="18" t="n">
        <v>2</v>
      </c>
    </row>
    <row r="515" customFormat="false" ht="15" hidden="false" customHeight="true" outlineLevel="0" collapsed="false">
      <c r="A515" s="18" t="s">
        <v>195</v>
      </c>
      <c r="B515" s="18" t="s">
        <v>272</v>
      </c>
      <c r="C515" s="18" t="n">
        <v>33</v>
      </c>
      <c r="D515" s="30" t="n">
        <v>1145.48</v>
      </c>
      <c r="E515" s="18" t="n">
        <v>3</v>
      </c>
    </row>
    <row r="516" customFormat="false" ht="15" hidden="false" customHeight="true" outlineLevel="0" collapsed="false">
      <c r="A516" s="18" t="s">
        <v>195</v>
      </c>
      <c r="B516" s="18" t="s">
        <v>273</v>
      </c>
      <c r="C516" s="18" t="n">
        <v>51</v>
      </c>
      <c r="D516" s="30" t="n">
        <v>1728.35</v>
      </c>
      <c r="E516" s="18" t="n">
        <v>4</v>
      </c>
    </row>
    <row r="517" customFormat="false" ht="15" hidden="false" customHeight="true" outlineLevel="0" collapsed="false">
      <c r="A517" s="18" t="s">
        <v>195</v>
      </c>
      <c r="B517" s="18" t="s">
        <v>274</v>
      </c>
      <c r="C517" s="18" t="n">
        <v>27</v>
      </c>
      <c r="D517" s="30" t="n">
        <v>969.09</v>
      </c>
      <c r="E517" s="18" t="n">
        <v>5</v>
      </c>
    </row>
    <row r="518" customFormat="false" ht="15" hidden="false" customHeight="true" outlineLevel="0" collapsed="false">
      <c r="A518" s="18" t="s">
        <v>195</v>
      </c>
      <c r="B518" s="18" t="s">
        <v>275</v>
      </c>
      <c r="C518" s="18" t="n">
        <v>105</v>
      </c>
      <c r="D518" s="30" t="n">
        <v>3559.36</v>
      </c>
      <c r="E518" s="18" t="n">
        <v>6</v>
      </c>
    </row>
    <row r="519" customFormat="false" ht="15" hidden="false" customHeight="true" outlineLevel="0" collapsed="false">
      <c r="A519" s="18" t="s">
        <v>195</v>
      </c>
      <c r="B519" s="18" t="s">
        <v>276</v>
      </c>
      <c r="C519" s="18" t="n">
        <v>22</v>
      </c>
      <c r="D519" s="30" t="n">
        <v>757.8</v>
      </c>
      <c r="E519" s="18" t="n">
        <v>7</v>
      </c>
    </row>
    <row r="520" customFormat="false" ht="15" hidden="false" customHeight="true" outlineLevel="0" collapsed="false">
      <c r="A520" s="18" t="s">
        <v>195</v>
      </c>
      <c r="B520" s="18" t="s">
        <v>277</v>
      </c>
      <c r="C520" s="18" t="n">
        <v>39</v>
      </c>
      <c r="D520" s="30" t="n">
        <v>1322.43</v>
      </c>
      <c r="E520" s="18" t="n">
        <v>8</v>
      </c>
    </row>
    <row r="521" customFormat="false" ht="15" hidden="false" customHeight="true" outlineLevel="0" collapsed="false">
      <c r="A521" s="18" t="s">
        <v>195</v>
      </c>
      <c r="B521" s="18" t="s">
        <v>278</v>
      </c>
      <c r="C521" s="18" t="n">
        <v>57</v>
      </c>
      <c r="D521" s="30" t="n">
        <v>2027.25</v>
      </c>
      <c r="E521" s="18" t="n">
        <v>9</v>
      </c>
    </row>
    <row r="522" customFormat="false" ht="15" hidden="false" customHeight="true" outlineLevel="0" collapsed="false">
      <c r="A522" s="18" t="s">
        <v>195</v>
      </c>
      <c r="B522" s="18" t="s">
        <v>279</v>
      </c>
      <c r="C522" s="18" t="n">
        <v>51</v>
      </c>
      <c r="D522" s="30" t="n">
        <v>1813.56</v>
      </c>
      <c r="E522" s="18" t="n">
        <v>10</v>
      </c>
    </row>
    <row r="523" customFormat="false" ht="15" hidden="false" customHeight="true" outlineLevel="0" collapsed="false">
      <c r="A523" s="18" t="s">
        <v>195</v>
      </c>
      <c r="B523" s="18" t="s">
        <v>280</v>
      </c>
      <c r="C523" s="18" t="n">
        <v>52</v>
      </c>
      <c r="D523" s="30" t="n">
        <v>1816.52</v>
      </c>
      <c r="E523" s="18" t="n">
        <v>11</v>
      </c>
    </row>
    <row r="524" customFormat="false" ht="15" hidden="false" customHeight="true" outlineLevel="0" collapsed="false">
      <c r="A524" s="18" t="s">
        <v>195</v>
      </c>
      <c r="B524" s="18" t="s">
        <v>281</v>
      </c>
      <c r="C524" s="18" t="n">
        <v>26</v>
      </c>
      <c r="D524" s="30" t="n">
        <v>910.03</v>
      </c>
      <c r="E524" s="18" t="n">
        <v>12</v>
      </c>
    </row>
    <row r="525" customFormat="false" ht="15" hidden="false" customHeight="true" outlineLevel="0" collapsed="false">
      <c r="A525" s="18" t="s">
        <v>195</v>
      </c>
      <c r="B525" s="18" t="s">
        <v>282</v>
      </c>
      <c r="C525" s="18" t="n">
        <v>31</v>
      </c>
      <c r="D525" s="30" t="n">
        <v>1077.09</v>
      </c>
      <c r="E525" s="18" t="n">
        <v>13</v>
      </c>
    </row>
    <row r="526" customFormat="false" ht="15" hidden="false" customHeight="true" outlineLevel="0" collapsed="false">
      <c r="A526" s="18" t="s">
        <v>195</v>
      </c>
      <c r="B526" s="18" t="s">
        <v>283</v>
      </c>
      <c r="C526" s="18" t="n">
        <v>56</v>
      </c>
      <c r="D526" s="30" t="n">
        <v>2007.06</v>
      </c>
      <c r="E526" s="18" t="n">
        <v>14</v>
      </c>
    </row>
    <row r="527" customFormat="false" ht="15" hidden="false" customHeight="true" outlineLevel="0" collapsed="false">
      <c r="A527" s="18" t="s">
        <v>195</v>
      </c>
      <c r="B527" s="18" t="s">
        <v>284</v>
      </c>
      <c r="C527" s="18" t="n">
        <v>52</v>
      </c>
      <c r="D527" s="30" t="n">
        <v>1778.93</v>
      </c>
      <c r="E527" s="18" t="n">
        <v>15</v>
      </c>
    </row>
    <row r="528" customFormat="false" ht="15" hidden="false" customHeight="true" outlineLevel="0" collapsed="false">
      <c r="A528" s="18" t="s">
        <v>195</v>
      </c>
      <c r="B528" s="18" t="s">
        <v>285</v>
      </c>
      <c r="C528" s="18" t="n">
        <v>40</v>
      </c>
      <c r="D528" s="30" t="n">
        <v>1433.25</v>
      </c>
      <c r="E528" s="18" t="n">
        <v>16</v>
      </c>
    </row>
    <row r="529" customFormat="false" ht="15" hidden="false" customHeight="true" outlineLevel="0" collapsed="false">
      <c r="A529" s="18" t="s">
        <v>195</v>
      </c>
      <c r="B529" s="18" t="s">
        <v>286</v>
      </c>
      <c r="C529" s="18" t="n">
        <v>57</v>
      </c>
      <c r="D529" s="30" t="n">
        <v>2030.81</v>
      </c>
      <c r="E529" s="18" t="n">
        <v>17</v>
      </c>
    </row>
    <row r="530" customFormat="false" ht="15" hidden="false" customHeight="true" outlineLevel="0" collapsed="false">
      <c r="A530" s="18" t="s">
        <v>195</v>
      </c>
      <c r="B530" s="18" t="s">
        <v>287</v>
      </c>
      <c r="C530" s="18" t="n">
        <v>48</v>
      </c>
      <c r="D530" s="30" t="n">
        <v>1706.41</v>
      </c>
      <c r="E530" s="18" t="n">
        <v>18</v>
      </c>
    </row>
    <row r="531" customFormat="false" ht="15" hidden="false" customHeight="true" outlineLevel="0" collapsed="false">
      <c r="A531" s="18" t="s">
        <v>195</v>
      </c>
      <c r="B531" s="18" t="s">
        <v>288</v>
      </c>
      <c r="C531" s="18" t="n">
        <v>44</v>
      </c>
      <c r="D531" s="30" t="n">
        <v>1565.33</v>
      </c>
      <c r="E531" s="18" t="n">
        <v>19</v>
      </c>
    </row>
    <row r="532" customFormat="false" ht="15" hidden="false" customHeight="true" outlineLevel="0" collapsed="false">
      <c r="A532" s="18" t="s">
        <v>195</v>
      </c>
      <c r="B532" s="18" t="s">
        <v>290</v>
      </c>
      <c r="C532" s="18" t="n">
        <v>35</v>
      </c>
      <c r="D532" s="30" t="n">
        <v>1223.44</v>
      </c>
      <c r="E532" s="18" t="n">
        <v>20</v>
      </c>
    </row>
    <row r="533" customFormat="false" ht="15" hidden="false" customHeight="true" outlineLevel="0" collapsed="false">
      <c r="A533" s="18" t="s">
        <v>195</v>
      </c>
      <c r="B533" s="18" t="s">
        <v>291</v>
      </c>
      <c r="C533" s="18" t="n">
        <v>32</v>
      </c>
      <c r="D533" s="30" t="n">
        <v>1142.22</v>
      </c>
      <c r="E533" s="18" t="n">
        <v>21</v>
      </c>
    </row>
    <row r="534" customFormat="false" ht="15" hidden="false" customHeight="true" outlineLevel="0" collapsed="false">
      <c r="A534" s="18" t="s">
        <v>195</v>
      </c>
      <c r="B534" s="18" t="s">
        <v>292</v>
      </c>
      <c r="C534" s="18" t="n">
        <v>58</v>
      </c>
      <c r="D534" s="30" t="n">
        <v>2046.73</v>
      </c>
      <c r="E534" s="18" t="n">
        <v>22</v>
      </c>
    </row>
    <row r="535" customFormat="false" ht="15" hidden="false" customHeight="true" outlineLevel="0" collapsed="false">
      <c r="A535" s="18" t="s">
        <v>195</v>
      </c>
      <c r="B535" s="18" t="s">
        <v>294</v>
      </c>
      <c r="C535" s="18" t="n">
        <v>29</v>
      </c>
      <c r="D535" s="30" t="n">
        <v>1002.55</v>
      </c>
      <c r="E535" s="18" t="n">
        <v>23</v>
      </c>
    </row>
    <row r="536" customFormat="false" ht="15" hidden="false" customHeight="true" outlineLevel="0" collapsed="false">
      <c r="A536" s="18" t="s">
        <v>195</v>
      </c>
      <c r="B536" s="18" t="s">
        <v>295</v>
      </c>
      <c r="C536" s="18" t="n">
        <v>36</v>
      </c>
      <c r="D536" s="30" t="n">
        <v>1224.07</v>
      </c>
      <c r="E536" s="18" t="n">
        <v>24</v>
      </c>
    </row>
    <row r="537" customFormat="false" ht="15" hidden="false" customHeight="true" outlineLevel="0" collapsed="false">
      <c r="A537" s="18" t="s">
        <v>195</v>
      </c>
      <c r="B537" s="18" t="s">
        <v>296</v>
      </c>
      <c r="C537" s="18" t="n">
        <v>11</v>
      </c>
      <c r="D537" s="30" t="n">
        <v>389.9</v>
      </c>
      <c r="E537" s="18" t="n">
        <v>25</v>
      </c>
    </row>
    <row r="538" customFormat="false" ht="15" hidden="false" customHeight="true" outlineLevel="0" collapsed="false">
      <c r="A538" s="18" t="s">
        <v>195</v>
      </c>
      <c r="B538" s="18" t="s">
        <v>297</v>
      </c>
      <c r="C538" s="18" t="n">
        <v>15</v>
      </c>
      <c r="D538" s="30" t="n">
        <v>536.41</v>
      </c>
      <c r="E538" s="18" t="n">
        <v>26</v>
      </c>
    </row>
    <row r="539" customFormat="false" ht="15" hidden="false" customHeight="true" outlineLevel="0" collapsed="false">
      <c r="A539" s="18" t="s">
        <v>195</v>
      </c>
      <c r="B539" s="18" t="s">
        <v>298</v>
      </c>
      <c r="C539" s="18" t="n">
        <v>77</v>
      </c>
      <c r="D539" s="30" t="n">
        <v>2609.36</v>
      </c>
      <c r="E539" s="18" t="n">
        <v>27</v>
      </c>
    </row>
    <row r="540" customFormat="false" ht="15" hidden="false" customHeight="true" outlineLevel="0" collapsed="false">
      <c r="A540" s="18" t="s">
        <v>195</v>
      </c>
      <c r="B540" s="18" t="s">
        <v>299</v>
      </c>
      <c r="C540" s="18" t="n">
        <v>53</v>
      </c>
      <c r="D540" s="30" t="n">
        <v>1814.97</v>
      </c>
      <c r="E540" s="18" t="n">
        <v>28</v>
      </c>
    </row>
    <row r="541" customFormat="false" ht="15" hidden="false" customHeight="true" outlineLevel="0" collapsed="false">
      <c r="A541" s="18" t="s">
        <v>195</v>
      </c>
      <c r="B541" s="18" t="s">
        <v>300</v>
      </c>
      <c r="C541" s="18" t="n">
        <v>93</v>
      </c>
      <c r="D541" s="30" t="n">
        <v>3187.26</v>
      </c>
      <c r="E541" s="18" t="n">
        <v>29</v>
      </c>
    </row>
    <row r="542" customFormat="false" ht="15" hidden="false" customHeight="true" outlineLevel="0" collapsed="false">
      <c r="A542" s="18" t="s">
        <v>195</v>
      </c>
      <c r="B542" s="18" t="s">
        <v>301</v>
      </c>
      <c r="C542" s="18" t="n">
        <v>38</v>
      </c>
      <c r="D542" s="30" t="n">
        <v>1359.35</v>
      </c>
      <c r="E542" s="18" t="n">
        <v>30</v>
      </c>
    </row>
    <row r="543" customFormat="false" ht="15" hidden="false" customHeight="true" outlineLevel="0" collapsed="false">
      <c r="A543" s="18" t="s">
        <v>195</v>
      </c>
      <c r="B543" s="18" t="s">
        <v>302</v>
      </c>
      <c r="C543" s="18" t="n">
        <v>4</v>
      </c>
      <c r="D543" s="30" t="n">
        <v>137.23</v>
      </c>
      <c r="E543" s="18" t="n">
        <v>31</v>
      </c>
    </row>
    <row r="544" customFormat="false" ht="15" hidden="false" customHeight="true" outlineLevel="0" collapsed="false">
      <c r="A544" s="18" t="s">
        <v>195</v>
      </c>
      <c r="B544" s="18" t="s">
        <v>303</v>
      </c>
      <c r="C544" s="18" t="n">
        <v>34</v>
      </c>
      <c r="D544" s="30" t="n">
        <v>1160.61</v>
      </c>
      <c r="E544" s="18" t="n">
        <v>32</v>
      </c>
    </row>
    <row r="545" customFormat="false" ht="15" hidden="false" customHeight="true" outlineLevel="0" collapsed="false">
      <c r="A545" s="18" t="s">
        <v>195</v>
      </c>
      <c r="B545" s="18" t="s">
        <v>304</v>
      </c>
      <c r="C545" s="18" t="n">
        <v>29</v>
      </c>
      <c r="D545" s="30" t="n">
        <v>992.45</v>
      </c>
      <c r="E545" s="18" t="n">
        <v>33</v>
      </c>
    </row>
    <row r="546" customFormat="false" ht="15" hidden="false" customHeight="true" outlineLevel="0" collapsed="false">
      <c r="A546" s="18" t="s">
        <v>195</v>
      </c>
      <c r="B546" s="18" t="s">
        <v>305</v>
      </c>
      <c r="C546" s="18" t="n">
        <v>62</v>
      </c>
      <c r="D546" s="30" t="n">
        <v>2214.81</v>
      </c>
      <c r="E546" s="18" t="n">
        <v>34</v>
      </c>
    </row>
    <row r="547" customFormat="false" ht="15" hidden="false" customHeight="true" outlineLevel="0" collapsed="false">
      <c r="A547" s="18" t="s">
        <v>195</v>
      </c>
      <c r="B547" s="18" t="s">
        <v>306</v>
      </c>
      <c r="C547" s="18" t="n">
        <v>59</v>
      </c>
      <c r="D547" s="30" t="n">
        <v>2072.29</v>
      </c>
      <c r="E547" s="18" t="n">
        <v>35</v>
      </c>
    </row>
    <row r="548" customFormat="false" ht="15" hidden="false" customHeight="true" outlineLevel="0" collapsed="false">
      <c r="A548" s="18" t="s">
        <v>195</v>
      </c>
      <c r="B548" s="18" t="s">
        <v>307</v>
      </c>
      <c r="C548" s="18" t="n">
        <v>53</v>
      </c>
      <c r="D548" s="30" t="n">
        <v>1880.9</v>
      </c>
      <c r="E548" s="18" t="n">
        <v>36</v>
      </c>
    </row>
    <row r="549" customFormat="false" ht="15" hidden="false" customHeight="true" outlineLevel="0" collapsed="false">
      <c r="A549" s="18" t="s">
        <v>195</v>
      </c>
      <c r="B549" s="18" t="s">
        <v>308</v>
      </c>
      <c r="C549" s="18" t="n">
        <v>93</v>
      </c>
      <c r="D549" s="30" t="n">
        <v>3312.81</v>
      </c>
      <c r="E549" s="18" t="n">
        <v>37</v>
      </c>
    </row>
    <row r="550" customFormat="false" ht="15" hidden="false" customHeight="true" outlineLevel="0" collapsed="false">
      <c r="A550" s="18" t="s">
        <v>195</v>
      </c>
      <c r="B550" s="18" t="s">
        <v>309</v>
      </c>
      <c r="C550" s="18" t="n">
        <v>66</v>
      </c>
      <c r="D550" s="30" t="n">
        <v>2279.76</v>
      </c>
      <c r="E550" s="18" t="n">
        <v>38</v>
      </c>
    </row>
    <row r="551" customFormat="false" ht="15" hidden="false" customHeight="true" outlineLevel="0" collapsed="false">
      <c r="A551" s="18" t="s">
        <v>195</v>
      </c>
      <c r="B551" s="18" t="s">
        <v>310</v>
      </c>
      <c r="C551" s="18" t="n">
        <v>15</v>
      </c>
      <c r="D551" s="30" t="n">
        <v>514.3</v>
      </c>
      <c r="E551" s="18" t="n">
        <v>39</v>
      </c>
    </row>
    <row r="552" customFormat="false" ht="15" hidden="false" customHeight="true" outlineLevel="0" collapsed="false">
      <c r="A552" s="18" t="s">
        <v>195</v>
      </c>
      <c r="B552" s="18" t="s">
        <v>311</v>
      </c>
      <c r="C552" s="18" t="n">
        <v>54</v>
      </c>
      <c r="D552" s="30" t="n">
        <v>1932.78</v>
      </c>
      <c r="E552" s="18" t="n">
        <v>40</v>
      </c>
    </row>
    <row r="553" customFormat="false" ht="15" hidden="false" customHeight="true" outlineLevel="0" collapsed="false">
      <c r="A553" s="18" t="s">
        <v>195</v>
      </c>
      <c r="B553" s="18" t="s">
        <v>312</v>
      </c>
      <c r="C553" s="18" t="n">
        <v>32</v>
      </c>
      <c r="D553" s="30" t="n">
        <v>1133.64</v>
      </c>
      <c r="E553" s="18" t="n">
        <v>41</v>
      </c>
    </row>
    <row r="554" customFormat="false" ht="15" hidden="false" customHeight="true" outlineLevel="0" collapsed="false">
      <c r="A554" s="18" t="s">
        <v>195</v>
      </c>
      <c r="B554" s="18" t="s">
        <v>313</v>
      </c>
      <c r="C554" s="18" t="n">
        <v>26</v>
      </c>
      <c r="D554" s="30" t="n">
        <v>889.11</v>
      </c>
      <c r="E554" s="18" t="n">
        <v>42</v>
      </c>
    </row>
    <row r="555" customFormat="false" ht="15" hidden="false" customHeight="true" outlineLevel="0" collapsed="false">
      <c r="A555" s="18" t="s">
        <v>195</v>
      </c>
      <c r="B555" s="18" t="s">
        <v>314</v>
      </c>
      <c r="C555" s="18" t="n">
        <v>56</v>
      </c>
      <c r="D555" s="30" t="n">
        <v>1970.1</v>
      </c>
      <c r="E555" s="18" t="n">
        <v>43</v>
      </c>
    </row>
    <row r="556" customFormat="false" ht="15" hidden="false" customHeight="true" outlineLevel="0" collapsed="false">
      <c r="A556" s="18" t="s">
        <v>195</v>
      </c>
      <c r="B556" s="18" t="s">
        <v>315</v>
      </c>
      <c r="C556" s="18" t="n">
        <v>12</v>
      </c>
      <c r="D556" s="30" t="n">
        <v>416.68</v>
      </c>
      <c r="E556" s="18" t="n">
        <v>44</v>
      </c>
    </row>
    <row r="557" customFormat="false" ht="15" hidden="false" customHeight="true" outlineLevel="0" collapsed="false">
      <c r="A557" s="18" t="s">
        <v>195</v>
      </c>
      <c r="B557" s="18" t="s">
        <v>316</v>
      </c>
      <c r="C557" s="18" t="n">
        <v>46</v>
      </c>
      <c r="D557" s="30" t="n">
        <v>1624.91</v>
      </c>
      <c r="E557" s="18" t="n">
        <v>45</v>
      </c>
    </row>
    <row r="558" customFormat="false" ht="15" hidden="false" customHeight="true" outlineLevel="0" collapsed="false">
      <c r="A558" s="18" t="s">
        <v>195</v>
      </c>
      <c r="B558" s="18" t="s">
        <v>317</v>
      </c>
      <c r="C558" s="18" t="n">
        <v>43</v>
      </c>
      <c r="D558" s="30" t="n">
        <v>1538.25</v>
      </c>
      <c r="E558" s="18" t="n">
        <v>46</v>
      </c>
    </row>
    <row r="559" customFormat="false" ht="15" hidden="false" customHeight="true" outlineLevel="0" collapsed="false">
      <c r="A559" s="18" t="s">
        <v>195</v>
      </c>
      <c r="B559" s="18" t="s">
        <v>318</v>
      </c>
      <c r="C559" s="18" t="n">
        <v>12</v>
      </c>
      <c r="D559" s="30" t="n">
        <v>408.46</v>
      </c>
      <c r="E559" s="18" t="n">
        <v>47</v>
      </c>
    </row>
    <row r="560" customFormat="false" ht="15" hidden="false" customHeight="true" outlineLevel="0" collapsed="false">
      <c r="A560" s="18" t="s">
        <v>195</v>
      </c>
      <c r="B560" s="18" t="s">
        <v>319</v>
      </c>
      <c r="C560" s="18" t="n">
        <v>0</v>
      </c>
      <c r="D560" s="30" t="n">
        <v>0</v>
      </c>
      <c r="E560" s="18" t="n">
        <v>48</v>
      </c>
    </row>
    <row r="561" customFormat="false" ht="15" hidden="false" customHeight="true" outlineLevel="0" collapsed="false">
      <c r="A561" s="18" t="s">
        <v>195</v>
      </c>
      <c r="B561" s="18" t="s">
        <v>320</v>
      </c>
      <c r="C561" s="18" t="n">
        <v>24</v>
      </c>
      <c r="D561" s="30" t="n">
        <v>861.48</v>
      </c>
      <c r="E561" s="18" t="n">
        <v>49</v>
      </c>
    </row>
    <row r="562" customFormat="false" ht="15" hidden="false" customHeight="true" outlineLevel="0" collapsed="false">
      <c r="A562" s="18" t="s">
        <v>195</v>
      </c>
      <c r="B562" s="18" t="s">
        <v>321</v>
      </c>
      <c r="C562" s="18" t="n">
        <v>7</v>
      </c>
      <c r="D562" s="30" t="n">
        <v>243.7</v>
      </c>
      <c r="E562" s="18" t="n">
        <v>50</v>
      </c>
    </row>
    <row r="563" customFormat="false" ht="15" hidden="false" customHeight="true" outlineLevel="0" collapsed="false">
      <c r="A563" s="18" t="s">
        <v>197</v>
      </c>
      <c r="B563" s="18" t="s">
        <v>270</v>
      </c>
      <c r="C563" s="18" t="n">
        <v>100</v>
      </c>
      <c r="D563" s="30" t="n">
        <v>2370.35</v>
      </c>
      <c r="E563" s="18" t="n">
        <v>1</v>
      </c>
    </row>
    <row r="564" customFormat="false" ht="15" hidden="false" customHeight="true" outlineLevel="0" collapsed="false">
      <c r="A564" s="18" t="s">
        <v>197</v>
      </c>
      <c r="B564" s="18" t="s">
        <v>271</v>
      </c>
      <c r="C564" s="18" t="n">
        <v>133</v>
      </c>
      <c r="D564" s="30" t="n">
        <v>3233.85</v>
      </c>
      <c r="E564" s="18" t="n">
        <v>2</v>
      </c>
    </row>
    <row r="565" customFormat="false" ht="15" hidden="false" customHeight="true" outlineLevel="0" collapsed="false">
      <c r="A565" s="18" t="s">
        <v>197</v>
      </c>
      <c r="B565" s="18" t="s">
        <v>272</v>
      </c>
      <c r="C565" s="18" t="n">
        <v>103</v>
      </c>
      <c r="D565" s="30" t="n">
        <v>2505.4</v>
      </c>
      <c r="E565" s="18" t="n">
        <v>3</v>
      </c>
    </row>
    <row r="566" customFormat="false" ht="15" hidden="false" customHeight="true" outlineLevel="0" collapsed="false">
      <c r="A566" s="18" t="s">
        <v>197</v>
      </c>
      <c r="B566" s="18" t="s">
        <v>273</v>
      </c>
      <c r="C566" s="18" t="n">
        <v>105</v>
      </c>
      <c r="D566" s="30" t="n">
        <v>2607.25</v>
      </c>
      <c r="E566" s="18" t="n">
        <v>4</v>
      </c>
    </row>
    <row r="567" customFormat="false" ht="15" hidden="false" customHeight="true" outlineLevel="0" collapsed="false">
      <c r="A567" s="18" t="s">
        <v>197</v>
      </c>
      <c r="B567" s="18" t="s">
        <v>274</v>
      </c>
      <c r="C567" s="18" t="n">
        <v>109</v>
      </c>
      <c r="D567" s="30" t="n">
        <v>2700.13</v>
      </c>
      <c r="E567" s="18" t="n">
        <v>5</v>
      </c>
    </row>
    <row r="568" customFormat="false" ht="15" hidden="false" customHeight="true" outlineLevel="0" collapsed="false">
      <c r="A568" s="18" t="s">
        <v>197</v>
      </c>
      <c r="B568" s="18" t="s">
        <v>275</v>
      </c>
      <c r="C568" s="18" t="n">
        <v>132</v>
      </c>
      <c r="D568" s="30" t="n">
        <v>3242.13</v>
      </c>
      <c r="E568" s="18" t="n">
        <v>6</v>
      </c>
    </row>
    <row r="569" customFormat="false" ht="15" hidden="false" customHeight="true" outlineLevel="0" collapsed="false">
      <c r="A569" s="18" t="s">
        <v>197</v>
      </c>
      <c r="B569" s="18" t="s">
        <v>276</v>
      </c>
      <c r="C569" s="18" t="n">
        <v>144</v>
      </c>
      <c r="D569" s="30" t="n">
        <v>3535.43</v>
      </c>
      <c r="E569" s="18" t="n">
        <v>7</v>
      </c>
    </row>
    <row r="570" customFormat="false" ht="15" hidden="false" customHeight="true" outlineLevel="0" collapsed="false">
      <c r="A570" s="18" t="s">
        <v>197</v>
      </c>
      <c r="B570" s="18" t="s">
        <v>277</v>
      </c>
      <c r="C570" s="18" t="n">
        <v>138</v>
      </c>
      <c r="D570" s="30" t="n">
        <v>3394.46</v>
      </c>
      <c r="E570" s="18" t="n">
        <v>8</v>
      </c>
    </row>
    <row r="571" customFormat="false" ht="15" hidden="false" customHeight="true" outlineLevel="0" collapsed="false">
      <c r="A571" s="18" t="s">
        <v>197</v>
      </c>
      <c r="B571" s="18" t="s">
        <v>278</v>
      </c>
      <c r="C571" s="18" t="n">
        <v>126</v>
      </c>
      <c r="D571" s="30" t="n">
        <v>3154.18</v>
      </c>
      <c r="E571" s="18" t="n">
        <v>9</v>
      </c>
    </row>
    <row r="572" customFormat="false" ht="15" hidden="false" customHeight="true" outlineLevel="0" collapsed="false">
      <c r="A572" s="18" t="s">
        <v>197</v>
      </c>
      <c r="B572" s="18" t="s">
        <v>279</v>
      </c>
      <c r="C572" s="18" t="n">
        <v>101</v>
      </c>
      <c r="D572" s="30" t="n">
        <v>2449.3</v>
      </c>
      <c r="E572" s="18" t="n">
        <v>10</v>
      </c>
    </row>
    <row r="573" customFormat="false" ht="15" hidden="false" customHeight="true" outlineLevel="0" collapsed="false">
      <c r="A573" s="18" t="s">
        <v>197</v>
      </c>
      <c r="B573" s="18" t="s">
        <v>280</v>
      </c>
      <c r="C573" s="18" t="n">
        <v>124</v>
      </c>
      <c r="D573" s="30" t="n">
        <v>3021.68</v>
      </c>
      <c r="E573" s="18" t="n">
        <v>11</v>
      </c>
    </row>
    <row r="574" customFormat="false" ht="15" hidden="false" customHeight="true" outlineLevel="0" collapsed="false">
      <c r="A574" s="18" t="s">
        <v>197</v>
      </c>
      <c r="B574" s="18" t="s">
        <v>281</v>
      </c>
      <c r="C574" s="18" t="n">
        <v>92</v>
      </c>
      <c r="D574" s="30" t="n">
        <v>2235.7</v>
      </c>
      <c r="E574" s="18" t="n">
        <v>12</v>
      </c>
    </row>
    <row r="575" customFormat="false" ht="15" hidden="false" customHeight="true" outlineLevel="0" collapsed="false">
      <c r="A575" s="18" t="s">
        <v>197</v>
      </c>
      <c r="B575" s="18" t="s">
        <v>282</v>
      </c>
      <c r="C575" s="18" t="n">
        <v>89</v>
      </c>
      <c r="D575" s="30" t="n">
        <v>2199.94</v>
      </c>
      <c r="E575" s="18" t="n">
        <v>13</v>
      </c>
    </row>
    <row r="576" customFormat="false" ht="15" hidden="false" customHeight="true" outlineLevel="0" collapsed="false">
      <c r="A576" s="18" t="s">
        <v>197</v>
      </c>
      <c r="B576" s="18" t="s">
        <v>283</v>
      </c>
      <c r="C576" s="18" t="n">
        <v>107</v>
      </c>
      <c r="D576" s="30" t="n">
        <v>2559.38</v>
      </c>
      <c r="E576" s="18" t="n">
        <v>14</v>
      </c>
    </row>
    <row r="577" customFormat="false" ht="15" hidden="false" customHeight="true" outlineLevel="0" collapsed="false">
      <c r="A577" s="18" t="s">
        <v>197</v>
      </c>
      <c r="B577" s="18" t="s">
        <v>284</v>
      </c>
      <c r="C577" s="18" t="n">
        <v>103</v>
      </c>
      <c r="D577" s="30" t="n">
        <v>2546.31</v>
      </c>
      <c r="E577" s="18" t="n">
        <v>15</v>
      </c>
    </row>
    <row r="578" customFormat="false" ht="15" hidden="false" customHeight="true" outlineLevel="0" collapsed="false">
      <c r="A578" s="18" t="s">
        <v>197</v>
      </c>
      <c r="B578" s="18" t="s">
        <v>285</v>
      </c>
      <c r="C578" s="18" t="n">
        <v>99</v>
      </c>
      <c r="D578" s="30" t="n">
        <v>2378.73</v>
      </c>
      <c r="E578" s="18" t="n">
        <v>16</v>
      </c>
    </row>
    <row r="579" customFormat="false" ht="15" hidden="false" customHeight="true" outlineLevel="0" collapsed="false">
      <c r="A579" s="18" t="s">
        <v>197</v>
      </c>
      <c r="B579" s="18" t="s">
        <v>286</v>
      </c>
      <c r="C579" s="18" t="n">
        <v>124</v>
      </c>
      <c r="D579" s="30" t="n">
        <v>3103.29</v>
      </c>
      <c r="E579" s="18" t="n">
        <v>17</v>
      </c>
    </row>
    <row r="580" customFormat="false" ht="15" hidden="false" customHeight="true" outlineLevel="0" collapsed="false">
      <c r="A580" s="18" t="s">
        <v>197</v>
      </c>
      <c r="B580" s="18" t="s">
        <v>287</v>
      </c>
      <c r="C580" s="18" t="n">
        <v>93</v>
      </c>
      <c r="D580" s="30" t="n">
        <v>2224.38</v>
      </c>
      <c r="E580" s="18" t="n">
        <v>18</v>
      </c>
    </row>
    <row r="581" customFormat="false" ht="15" hidden="false" customHeight="true" outlineLevel="0" collapsed="false">
      <c r="A581" s="18" t="s">
        <v>197</v>
      </c>
      <c r="B581" s="18" t="s">
        <v>288</v>
      </c>
      <c r="C581" s="18" t="n">
        <v>102</v>
      </c>
      <c r="D581" s="30" t="n">
        <v>2489.1</v>
      </c>
      <c r="E581" s="18" t="n">
        <v>19</v>
      </c>
    </row>
    <row r="582" customFormat="false" ht="15" hidden="false" customHeight="true" outlineLevel="0" collapsed="false">
      <c r="A582" s="18" t="s">
        <v>197</v>
      </c>
      <c r="B582" s="18" t="s">
        <v>289</v>
      </c>
      <c r="C582" s="18" t="n">
        <v>98</v>
      </c>
      <c r="D582" s="30" t="n">
        <v>2424.6</v>
      </c>
      <c r="E582" s="18" t="n">
        <v>20</v>
      </c>
    </row>
    <row r="583" customFormat="false" ht="15" hidden="false" customHeight="true" outlineLevel="0" collapsed="false">
      <c r="A583" s="18" t="s">
        <v>197</v>
      </c>
      <c r="B583" s="18" t="s">
        <v>290</v>
      </c>
      <c r="C583" s="18" t="n">
        <v>106</v>
      </c>
      <c r="D583" s="30" t="n">
        <v>2531.84</v>
      </c>
      <c r="E583" s="18" t="n">
        <v>21</v>
      </c>
    </row>
    <row r="584" customFormat="false" ht="15" hidden="false" customHeight="true" outlineLevel="0" collapsed="false">
      <c r="A584" s="18" t="s">
        <v>197</v>
      </c>
      <c r="B584" s="18" t="s">
        <v>291</v>
      </c>
      <c r="C584" s="18" t="n">
        <v>108</v>
      </c>
      <c r="D584" s="30" t="n">
        <v>2627.47</v>
      </c>
      <c r="E584" s="18" t="n">
        <v>22</v>
      </c>
    </row>
    <row r="585" customFormat="false" ht="15" hidden="false" customHeight="true" outlineLevel="0" collapsed="false">
      <c r="A585" s="18" t="s">
        <v>197</v>
      </c>
      <c r="B585" s="18" t="s">
        <v>292</v>
      </c>
      <c r="C585" s="18" t="n">
        <v>103</v>
      </c>
      <c r="D585" s="30" t="n">
        <v>2474.97</v>
      </c>
      <c r="E585" s="18" t="n">
        <v>23</v>
      </c>
    </row>
    <row r="586" customFormat="false" ht="15" hidden="false" customHeight="true" outlineLevel="0" collapsed="false">
      <c r="A586" s="18" t="s">
        <v>197</v>
      </c>
      <c r="B586" s="18" t="s">
        <v>293</v>
      </c>
      <c r="C586" s="18" t="n">
        <v>94</v>
      </c>
      <c r="D586" s="30" t="n">
        <v>2238.63</v>
      </c>
      <c r="E586" s="18" t="n">
        <v>24</v>
      </c>
    </row>
    <row r="587" customFormat="false" ht="15" hidden="false" customHeight="true" outlineLevel="0" collapsed="false">
      <c r="A587" s="18" t="s">
        <v>197</v>
      </c>
      <c r="B587" s="18" t="s">
        <v>294</v>
      </c>
      <c r="C587" s="18" t="n">
        <v>96</v>
      </c>
      <c r="D587" s="30" t="n">
        <v>2367.33</v>
      </c>
      <c r="E587" s="18" t="n">
        <v>25</v>
      </c>
    </row>
    <row r="588" customFormat="false" ht="15" hidden="false" customHeight="true" outlineLevel="0" collapsed="false">
      <c r="A588" s="18" t="s">
        <v>197</v>
      </c>
      <c r="B588" s="18" t="s">
        <v>295</v>
      </c>
      <c r="C588" s="18" t="n">
        <v>102</v>
      </c>
      <c r="D588" s="30" t="n">
        <v>2481.91</v>
      </c>
      <c r="E588" s="18" t="n">
        <v>26</v>
      </c>
    </row>
    <row r="589" customFormat="false" ht="15" hidden="false" customHeight="true" outlineLevel="0" collapsed="false">
      <c r="A589" s="18" t="s">
        <v>197</v>
      </c>
      <c r="B589" s="18" t="s">
        <v>296</v>
      </c>
      <c r="C589" s="18" t="n">
        <v>113</v>
      </c>
      <c r="D589" s="30" t="n">
        <v>2793.64</v>
      </c>
      <c r="E589" s="18" t="n">
        <v>27</v>
      </c>
    </row>
    <row r="590" customFormat="false" ht="15" hidden="false" customHeight="true" outlineLevel="0" collapsed="false">
      <c r="A590" s="18" t="s">
        <v>197</v>
      </c>
      <c r="B590" s="18" t="s">
        <v>297</v>
      </c>
      <c r="C590" s="18" t="n">
        <v>121</v>
      </c>
      <c r="D590" s="30" t="n">
        <v>2938.41</v>
      </c>
      <c r="E590" s="18" t="n">
        <v>28</v>
      </c>
    </row>
    <row r="591" customFormat="false" ht="15" hidden="false" customHeight="true" outlineLevel="0" collapsed="false">
      <c r="A591" s="18" t="s">
        <v>197</v>
      </c>
      <c r="B591" s="18" t="s">
        <v>298</v>
      </c>
      <c r="C591" s="18" t="n">
        <v>107</v>
      </c>
      <c r="D591" s="30" t="n">
        <v>2565.98</v>
      </c>
      <c r="E591" s="18" t="n">
        <v>29</v>
      </c>
    </row>
    <row r="592" customFormat="false" ht="15" hidden="false" customHeight="true" outlineLevel="0" collapsed="false">
      <c r="A592" s="18" t="s">
        <v>197</v>
      </c>
      <c r="B592" s="18" t="s">
        <v>299</v>
      </c>
      <c r="C592" s="18" t="n">
        <v>135</v>
      </c>
      <c r="D592" s="30" t="n">
        <v>3224.74</v>
      </c>
      <c r="E592" s="18" t="n">
        <v>30</v>
      </c>
    </row>
    <row r="593" customFormat="false" ht="15" hidden="false" customHeight="true" outlineLevel="0" collapsed="false">
      <c r="A593" s="18" t="s">
        <v>197</v>
      </c>
      <c r="B593" s="18" t="s">
        <v>300</v>
      </c>
      <c r="C593" s="18" t="n">
        <v>116</v>
      </c>
      <c r="D593" s="30" t="n">
        <v>2807.46</v>
      </c>
      <c r="E593" s="18" t="n">
        <v>31</v>
      </c>
    </row>
    <row r="594" customFormat="false" ht="15" hidden="false" customHeight="true" outlineLevel="0" collapsed="false">
      <c r="A594" s="18" t="s">
        <v>197</v>
      </c>
      <c r="B594" s="18" t="s">
        <v>301</v>
      </c>
      <c r="C594" s="18" t="n">
        <v>90</v>
      </c>
      <c r="D594" s="30" t="n">
        <v>2225.52</v>
      </c>
      <c r="E594" s="18" t="n">
        <v>32</v>
      </c>
    </row>
    <row r="595" customFormat="false" ht="15" hidden="false" customHeight="true" outlineLevel="0" collapsed="false">
      <c r="A595" s="18" t="s">
        <v>197</v>
      </c>
      <c r="B595" s="18" t="s">
        <v>302</v>
      </c>
      <c r="C595" s="18" t="n">
        <v>150</v>
      </c>
      <c r="D595" s="30" t="n">
        <v>3604.19</v>
      </c>
      <c r="E595" s="18" t="n">
        <v>33</v>
      </c>
    </row>
    <row r="596" customFormat="false" ht="15" hidden="false" customHeight="true" outlineLevel="0" collapsed="false">
      <c r="A596" s="18" t="s">
        <v>197</v>
      </c>
      <c r="B596" s="18" t="s">
        <v>303</v>
      </c>
      <c r="C596" s="18" t="n">
        <v>123</v>
      </c>
      <c r="D596" s="30" t="n">
        <v>2985.28</v>
      </c>
      <c r="E596" s="18" t="n">
        <v>34</v>
      </c>
    </row>
    <row r="597" customFormat="false" ht="15" hidden="false" customHeight="true" outlineLevel="0" collapsed="false">
      <c r="A597" s="18" t="s">
        <v>197</v>
      </c>
      <c r="B597" s="18" t="s">
        <v>304</v>
      </c>
      <c r="C597" s="18" t="n">
        <v>134</v>
      </c>
      <c r="D597" s="30" t="n">
        <v>3238.64</v>
      </c>
      <c r="E597" s="18" t="n">
        <v>35</v>
      </c>
    </row>
    <row r="598" customFormat="false" ht="15" hidden="false" customHeight="true" outlineLevel="0" collapsed="false">
      <c r="A598" s="18" t="s">
        <v>197</v>
      </c>
      <c r="B598" s="18" t="s">
        <v>305</v>
      </c>
      <c r="C598" s="18" t="n">
        <v>96</v>
      </c>
      <c r="D598" s="30" t="n">
        <v>2375.48</v>
      </c>
      <c r="E598" s="18" t="n">
        <v>36</v>
      </c>
    </row>
    <row r="599" customFormat="false" ht="15" hidden="false" customHeight="true" outlineLevel="0" collapsed="false">
      <c r="A599" s="18" t="s">
        <v>197</v>
      </c>
      <c r="B599" s="18" t="s">
        <v>306</v>
      </c>
      <c r="C599" s="18" t="n">
        <v>109</v>
      </c>
      <c r="D599" s="30" t="n">
        <v>2654.91</v>
      </c>
      <c r="E599" s="18" t="n">
        <v>37</v>
      </c>
    </row>
    <row r="600" customFormat="false" ht="15" hidden="false" customHeight="true" outlineLevel="0" collapsed="false">
      <c r="A600" s="18" t="s">
        <v>197</v>
      </c>
      <c r="B600" s="18" t="s">
        <v>307</v>
      </c>
      <c r="C600" s="18" t="n">
        <v>113</v>
      </c>
      <c r="D600" s="30" t="n">
        <v>2813.32</v>
      </c>
      <c r="E600" s="18" t="n">
        <v>38</v>
      </c>
    </row>
    <row r="601" customFormat="false" ht="15" hidden="false" customHeight="true" outlineLevel="0" collapsed="false">
      <c r="A601" s="18" t="s">
        <v>197</v>
      </c>
      <c r="B601" s="18" t="s">
        <v>308</v>
      </c>
      <c r="C601" s="18" t="n">
        <v>98</v>
      </c>
      <c r="D601" s="30" t="n">
        <v>2403.54</v>
      </c>
      <c r="E601" s="18" t="n">
        <v>39</v>
      </c>
    </row>
    <row r="602" customFormat="false" ht="15" hidden="false" customHeight="true" outlineLevel="0" collapsed="false">
      <c r="A602" s="18" t="s">
        <v>197</v>
      </c>
      <c r="B602" s="18" t="s">
        <v>309</v>
      </c>
      <c r="C602" s="18" t="n">
        <v>110</v>
      </c>
      <c r="D602" s="30" t="n">
        <v>2745.29</v>
      </c>
      <c r="E602" s="18" t="n">
        <v>40</v>
      </c>
    </row>
    <row r="603" customFormat="false" ht="15" hidden="false" customHeight="true" outlineLevel="0" collapsed="false">
      <c r="A603" s="18" t="s">
        <v>197</v>
      </c>
      <c r="B603" s="18" t="s">
        <v>310</v>
      </c>
      <c r="C603" s="18" t="n">
        <v>105</v>
      </c>
      <c r="D603" s="30" t="n">
        <v>2551.8</v>
      </c>
      <c r="E603" s="18" t="n">
        <v>41</v>
      </c>
    </row>
    <row r="604" customFormat="false" ht="15" hidden="false" customHeight="true" outlineLevel="0" collapsed="false">
      <c r="A604" s="18" t="s">
        <v>197</v>
      </c>
      <c r="B604" s="18" t="s">
        <v>311</v>
      </c>
      <c r="C604" s="18" t="n">
        <v>124</v>
      </c>
      <c r="D604" s="30" t="n">
        <v>2932.89</v>
      </c>
      <c r="E604" s="18" t="n">
        <v>42</v>
      </c>
    </row>
    <row r="605" customFormat="false" ht="15" hidden="false" customHeight="true" outlineLevel="0" collapsed="false">
      <c r="A605" s="18" t="s">
        <v>197</v>
      </c>
      <c r="B605" s="18" t="s">
        <v>312</v>
      </c>
      <c r="C605" s="18" t="n">
        <v>79</v>
      </c>
      <c r="D605" s="30" t="n">
        <v>1923.78</v>
      </c>
      <c r="E605" s="18" t="n">
        <v>43</v>
      </c>
    </row>
    <row r="606" customFormat="false" ht="15" hidden="false" customHeight="true" outlineLevel="0" collapsed="false">
      <c r="A606" s="18" t="s">
        <v>197</v>
      </c>
      <c r="B606" s="18" t="s">
        <v>313</v>
      </c>
      <c r="C606" s="18" t="n">
        <v>112</v>
      </c>
      <c r="D606" s="30" t="n">
        <v>2739.48</v>
      </c>
      <c r="E606" s="18" t="n">
        <v>44</v>
      </c>
    </row>
    <row r="607" customFormat="false" ht="15" hidden="false" customHeight="true" outlineLevel="0" collapsed="false">
      <c r="A607" s="18" t="s">
        <v>197</v>
      </c>
      <c r="B607" s="18" t="s">
        <v>314</v>
      </c>
      <c r="C607" s="18" t="n">
        <v>116</v>
      </c>
      <c r="D607" s="30" t="n">
        <v>2882.83</v>
      </c>
      <c r="E607" s="18" t="n">
        <v>45</v>
      </c>
    </row>
    <row r="608" customFormat="false" ht="15" hidden="false" customHeight="true" outlineLevel="0" collapsed="false">
      <c r="A608" s="18" t="s">
        <v>197</v>
      </c>
      <c r="B608" s="18" t="s">
        <v>315</v>
      </c>
      <c r="C608" s="18" t="n">
        <v>129</v>
      </c>
      <c r="D608" s="30" t="n">
        <v>3090.62</v>
      </c>
      <c r="E608" s="18" t="n">
        <v>46</v>
      </c>
    </row>
    <row r="609" customFormat="false" ht="15" hidden="false" customHeight="true" outlineLevel="0" collapsed="false">
      <c r="A609" s="18" t="s">
        <v>197</v>
      </c>
      <c r="B609" s="18" t="s">
        <v>316</v>
      </c>
      <c r="C609" s="18" t="n">
        <v>113</v>
      </c>
      <c r="D609" s="30" t="n">
        <v>2810.13</v>
      </c>
      <c r="E609" s="18" t="n">
        <v>47</v>
      </c>
    </row>
    <row r="610" customFormat="false" ht="15" hidden="false" customHeight="true" outlineLevel="0" collapsed="false">
      <c r="A610" s="18" t="s">
        <v>197</v>
      </c>
      <c r="B610" s="18" t="s">
        <v>317</v>
      </c>
      <c r="C610" s="18" t="n">
        <v>93</v>
      </c>
      <c r="D610" s="30" t="n">
        <v>2316.17</v>
      </c>
      <c r="E610" s="18" t="n">
        <v>48</v>
      </c>
    </row>
    <row r="611" customFormat="false" ht="15" hidden="false" customHeight="true" outlineLevel="0" collapsed="false">
      <c r="A611" s="18" t="s">
        <v>197</v>
      </c>
      <c r="B611" s="18" t="s">
        <v>318</v>
      </c>
      <c r="C611" s="18" t="n">
        <v>103</v>
      </c>
      <c r="D611" s="30" t="n">
        <v>2481.13</v>
      </c>
      <c r="E611" s="18" t="n">
        <v>49</v>
      </c>
    </row>
    <row r="612" customFormat="false" ht="15" hidden="false" customHeight="true" outlineLevel="0" collapsed="false">
      <c r="A612" s="18" t="s">
        <v>197</v>
      </c>
      <c r="B612" s="18" t="s">
        <v>319</v>
      </c>
      <c r="C612" s="18" t="n">
        <v>111</v>
      </c>
      <c r="D612" s="30" t="n">
        <v>2666.33</v>
      </c>
      <c r="E612" s="18" t="n">
        <v>50</v>
      </c>
    </row>
    <row r="613" customFormat="false" ht="15" hidden="false" customHeight="true" outlineLevel="0" collapsed="false">
      <c r="A613" s="18" t="s">
        <v>197</v>
      </c>
      <c r="B613" s="18" t="s">
        <v>320</v>
      </c>
      <c r="C613" s="18" t="n">
        <v>129</v>
      </c>
      <c r="D613" s="30" t="n">
        <v>3225.18</v>
      </c>
      <c r="E613" s="18" t="n">
        <v>51</v>
      </c>
    </row>
    <row r="614" customFormat="false" ht="15" hidden="false" customHeight="true" outlineLevel="0" collapsed="false">
      <c r="A614" s="18" t="s">
        <v>197</v>
      </c>
      <c r="B614" s="18" t="s">
        <v>321</v>
      </c>
      <c r="C614" s="18" t="n">
        <v>89</v>
      </c>
      <c r="D614" s="30" t="n">
        <v>2175.45</v>
      </c>
      <c r="E614" s="18" t="n">
        <v>52</v>
      </c>
    </row>
    <row r="615" customFormat="false" ht="15" hidden="false" customHeight="true" outlineLevel="0" collapsed="false">
      <c r="A615" s="18" t="s">
        <v>199</v>
      </c>
      <c r="B615" s="18" t="s">
        <v>270</v>
      </c>
      <c r="C615" s="18" t="n">
        <v>70</v>
      </c>
      <c r="D615" s="30" t="n">
        <v>2922.87</v>
      </c>
      <c r="E615" s="18" t="n">
        <v>1</v>
      </c>
    </row>
    <row r="616" customFormat="false" ht="15" hidden="false" customHeight="true" outlineLevel="0" collapsed="false">
      <c r="A616" s="18" t="s">
        <v>199</v>
      </c>
      <c r="B616" s="18" t="s">
        <v>271</v>
      </c>
      <c r="C616" s="18" t="n">
        <v>64</v>
      </c>
      <c r="D616" s="30" t="n">
        <v>2717.24</v>
      </c>
      <c r="E616" s="18" t="n">
        <v>2</v>
      </c>
    </row>
    <row r="617" customFormat="false" ht="15" hidden="false" customHeight="true" outlineLevel="0" collapsed="false">
      <c r="A617" s="18" t="s">
        <v>199</v>
      </c>
      <c r="B617" s="18" t="s">
        <v>272</v>
      </c>
      <c r="C617" s="18" t="n">
        <v>71</v>
      </c>
      <c r="D617" s="30" t="n">
        <v>2923.93</v>
      </c>
      <c r="E617" s="18" t="n">
        <v>3</v>
      </c>
    </row>
    <row r="618" customFormat="false" ht="15" hidden="false" customHeight="true" outlineLevel="0" collapsed="false">
      <c r="A618" s="18" t="s">
        <v>199</v>
      </c>
      <c r="B618" s="18" t="s">
        <v>273</v>
      </c>
      <c r="C618" s="18" t="n">
        <v>86</v>
      </c>
      <c r="D618" s="30" t="n">
        <v>3561.01</v>
      </c>
      <c r="E618" s="18" t="n">
        <v>4</v>
      </c>
    </row>
    <row r="619" customFormat="false" ht="15" hidden="false" customHeight="true" outlineLevel="0" collapsed="false">
      <c r="A619" s="18" t="s">
        <v>199</v>
      </c>
      <c r="B619" s="18" t="s">
        <v>274</v>
      </c>
      <c r="C619" s="18" t="n">
        <v>76</v>
      </c>
      <c r="D619" s="30" t="n">
        <v>3123.06</v>
      </c>
      <c r="E619" s="18" t="n">
        <v>5</v>
      </c>
    </row>
    <row r="620" customFormat="false" ht="15" hidden="false" customHeight="true" outlineLevel="0" collapsed="false">
      <c r="A620" s="18" t="s">
        <v>199</v>
      </c>
      <c r="B620" s="18" t="s">
        <v>275</v>
      </c>
      <c r="C620" s="18" t="n">
        <v>72</v>
      </c>
      <c r="D620" s="30" t="n">
        <v>3081.06</v>
      </c>
      <c r="E620" s="18" t="n">
        <v>6</v>
      </c>
    </row>
    <row r="621" customFormat="false" ht="15" hidden="false" customHeight="true" outlineLevel="0" collapsed="false">
      <c r="A621" s="18" t="s">
        <v>199</v>
      </c>
      <c r="B621" s="18" t="s">
        <v>276</v>
      </c>
      <c r="C621" s="18" t="n">
        <v>71</v>
      </c>
      <c r="D621" s="30" t="n">
        <v>2941.96</v>
      </c>
      <c r="E621" s="18" t="n">
        <v>7</v>
      </c>
    </row>
    <row r="622" customFormat="false" ht="15" hidden="false" customHeight="true" outlineLevel="0" collapsed="false">
      <c r="A622" s="18" t="s">
        <v>199</v>
      </c>
      <c r="B622" s="18" t="s">
        <v>277</v>
      </c>
      <c r="C622" s="18" t="n">
        <v>69</v>
      </c>
      <c r="D622" s="30" t="n">
        <v>2857.07</v>
      </c>
      <c r="E622" s="18" t="n">
        <v>8</v>
      </c>
    </row>
    <row r="623" customFormat="false" ht="15" hidden="false" customHeight="true" outlineLevel="0" collapsed="false">
      <c r="A623" s="18" t="s">
        <v>199</v>
      </c>
      <c r="B623" s="18" t="s">
        <v>278</v>
      </c>
      <c r="C623" s="18" t="n">
        <v>86</v>
      </c>
      <c r="D623" s="30" t="n">
        <v>3597.37</v>
      </c>
      <c r="E623" s="18" t="n">
        <v>9</v>
      </c>
    </row>
    <row r="624" customFormat="false" ht="15" hidden="false" customHeight="true" outlineLevel="0" collapsed="false">
      <c r="A624" s="18" t="s">
        <v>199</v>
      </c>
      <c r="B624" s="18" t="s">
        <v>279</v>
      </c>
      <c r="C624" s="18" t="n">
        <v>79</v>
      </c>
      <c r="D624" s="30" t="n">
        <v>3372.9</v>
      </c>
      <c r="E624" s="18" t="n">
        <v>10</v>
      </c>
    </row>
    <row r="625" customFormat="false" ht="15" hidden="false" customHeight="true" outlineLevel="0" collapsed="false">
      <c r="A625" s="18" t="s">
        <v>199</v>
      </c>
      <c r="B625" s="18" t="s">
        <v>280</v>
      </c>
      <c r="C625" s="18" t="n">
        <v>81</v>
      </c>
      <c r="D625" s="30" t="n">
        <v>3377.16</v>
      </c>
      <c r="E625" s="18" t="n">
        <v>11</v>
      </c>
    </row>
    <row r="626" customFormat="false" ht="15" hidden="false" customHeight="true" outlineLevel="0" collapsed="false">
      <c r="A626" s="18" t="s">
        <v>199</v>
      </c>
      <c r="B626" s="18" t="s">
        <v>281</v>
      </c>
      <c r="C626" s="18" t="n">
        <v>64</v>
      </c>
      <c r="D626" s="30" t="n">
        <v>2641.72</v>
      </c>
      <c r="E626" s="18" t="n">
        <v>12</v>
      </c>
    </row>
    <row r="627" customFormat="false" ht="15" hidden="false" customHeight="true" outlineLevel="0" collapsed="false">
      <c r="A627" s="18" t="s">
        <v>199</v>
      </c>
      <c r="B627" s="18" t="s">
        <v>282</v>
      </c>
      <c r="C627" s="18" t="n">
        <v>76</v>
      </c>
      <c r="D627" s="30" t="n">
        <v>3205.63</v>
      </c>
      <c r="E627" s="18" t="n">
        <v>13</v>
      </c>
    </row>
    <row r="628" customFormat="false" ht="15" hidden="false" customHeight="true" outlineLevel="0" collapsed="false">
      <c r="A628" s="18" t="s">
        <v>199</v>
      </c>
      <c r="B628" s="18" t="s">
        <v>283</v>
      </c>
      <c r="C628" s="18" t="n">
        <v>55</v>
      </c>
      <c r="D628" s="30" t="n">
        <v>2246.06</v>
      </c>
      <c r="E628" s="18" t="n">
        <v>14</v>
      </c>
    </row>
    <row r="629" customFormat="false" ht="15" hidden="false" customHeight="true" outlineLevel="0" collapsed="false">
      <c r="A629" s="18" t="s">
        <v>199</v>
      </c>
      <c r="B629" s="18" t="s">
        <v>284</v>
      </c>
      <c r="C629" s="18" t="n">
        <v>84</v>
      </c>
      <c r="D629" s="30" t="n">
        <v>3532</v>
      </c>
      <c r="E629" s="18" t="n">
        <v>15</v>
      </c>
    </row>
    <row r="630" customFormat="false" ht="15" hidden="false" customHeight="true" outlineLevel="0" collapsed="false">
      <c r="A630" s="18" t="s">
        <v>199</v>
      </c>
      <c r="B630" s="18" t="s">
        <v>285</v>
      </c>
      <c r="C630" s="18" t="n">
        <v>77</v>
      </c>
      <c r="D630" s="30" t="n">
        <v>3154.26</v>
      </c>
      <c r="E630" s="18" t="n">
        <v>16</v>
      </c>
    </row>
    <row r="631" customFormat="false" ht="15" hidden="false" customHeight="true" outlineLevel="0" collapsed="false">
      <c r="A631" s="18" t="s">
        <v>199</v>
      </c>
      <c r="B631" s="18" t="s">
        <v>286</v>
      </c>
      <c r="C631" s="18" t="n">
        <v>70</v>
      </c>
      <c r="D631" s="30" t="n">
        <v>2983.58</v>
      </c>
      <c r="E631" s="18" t="n">
        <v>17</v>
      </c>
    </row>
    <row r="632" customFormat="false" ht="15" hidden="false" customHeight="true" outlineLevel="0" collapsed="false">
      <c r="A632" s="18" t="s">
        <v>199</v>
      </c>
      <c r="B632" s="18" t="s">
        <v>287</v>
      </c>
      <c r="C632" s="18" t="n">
        <v>51</v>
      </c>
      <c r="D632" s="30" t="n">
        <v>2102.01</v>
      </c>
      <c r="E632" s="18" t="n">
        <v>18</v>
      </c>
    </row>
    <row r="633" customFormat="false" ht="15" hidden="false" customHeight="true" outlineLevel="0" collapsed="false">
      <c r="A633" s="18" t="s">
        <v>199</v>
      </c>
      <c r="B633" s="18" t="s">
        <v>288</v>
      </c>
      <c r="C633" s="18" t="n">
        <v>62</v>
      </c>
      <c r="D633" s="30" t="n">
        <v>2589.95</v>
      </c>
      <c r="E633" s="18" t="n">
        <v>19</v>
      </c>
    </row>
    <row r="634" customFormat="false" ht="15" hidden="false" customHeight="true" outlineLevel="0" collapsed="false">
      <c r="A634" s="18" t="s">
        <v>199</v>
      </c>
      <c r="B634" s="18" t="s">
        <v>289</v>
      </c>
      <c r="C634" s="18" t="n">
        <v>58</v>
      </c>
      <c r="D634" s="30" t="n">
        <v>2488.88</v>
      </c>
      <c r="E634" s="18" t="n">
        <v>20</v>
      </c>
    </row>
    <row r="635" customFormat="false" ht="15" hidden="false" customHeight="true" outlineLevel="0" collapsed="false">
      <c r="A635" s="18" t="s">
        <v>199</v>
      </c>
      <c r="B635" s="18" t="s">
        <v>290</v>
      </c>
      <c r="C635" s="18" t="n">
        <v>68</v>
      </c>
      <c r="D635" s="30" t="n">
        <v>2888.63</v>
      </c>
      <c r="E635" s="18" t="n">
        <v>21</v>
      </c>
    </row>
    <row r="636" customFormat="false" ht="15" hidden="false" customHeight="true" outlineLevel="0" collapsed="false">
      <c r="A636" s="18" t="s">
        <v>199</v>
      </c>
      <c r="B636" s="18" t="s">
        <v>291</v>
      </c>
      <c r="C636" s="18" t="n">
        <v>73</v>
      </c>
      <c r="D636" s="30" t="n">
        <v>3049.78</v>
      </c>
      <c r="E636" s="18" t="n">
        <v>22</v>
      </c>
    </row>
    <row r="637" customFormat="false" ht="15" hidden="false" customHeight="true" outlineLevel="0" collapsed="false">
      <c r="A637" s="18" t="s">
        <v>199</v>
      </c>
      <c r="B637" s="18" t="s">
        <v>292</v>
      </c>
      <c r="C637" s="18" t="n">
        <v>73</v>
      </c>
      <c r="D637" s="30" t="n">
        <v>3143.88</v>
      </c>
      <c r="E637" s="18" t="n">
        <v>23</v>
      </c>
    </row>
    <row r="638" customFormat="false" ht="15" hidden="false" customHeight="true" outlineLevel="0" collapsed="false">
      <c r="A638" s="18" t="s">
        <v>199</v>
      </c>
      <c r="B638" s="18" t="s">
        <v>293</v>
      </c>
      <c r="C638" s="18" t="n">
        <v>84</v>
      </c>
      <c r="D638" s="30" t="n">
        <v>3576.65</v>
      </c>
      <c r="E638" s="18" t="n">
        <v>24</v>
      </c>
    </row>
    <row r="639" customFormat="false" ht="15" hidden="false" customHeight="true" outlineLevel="0" collapsed="false">
      <c r="A639" s="18" t="s">
        <v>199</v>
      </c>
      <c r="B639" s="18" t="s">
        <v>294</v>
      </c>
      <c r="C639" s="18" t="n">
        <v>71</v>
      </c>
      <c r="D639" s="30" t="n">
        <v>2910.04</v>
      </c>
      <c r="E639" s="18" t="n">
        <v>25</v>
      </c>
    </row>
    <row r="640" customFormat="false" ht="15" hidden="false" customHeight="true" outlineLevel="0" collapsed="false">
      <c r="A640" s="18" t="s">
        <v>199</v>
      </c>
      <c r="B640" s="18" t="s">
        <v>295</v>
      </c>
      <c r="C640" s="18" t="n">
        <v>84</v>
      </c>
      <c r="D640" s="30" t="n">
        <v>3464.62</v>
      </c>
      <c r="E640" s="18" t="n">
        <v>26</v>
      </c>
    </row>
    <row r="641" customFormat="false" ht="15" hidden="false" customHeight="true" outlineLevel="0" collapsed="false">
      <c r="A641" s="18" t="s">
        <v>199</v>
      </c>
      <c r="B641" s="18" t="s">
        <v>296</v>
      </c>
      <c r="C641" s="18" t="n">
        <v>71</v>
      </c>
      <c r="D641" s="30" t="n">
        <v>2975.53</v>
      </c>
      <c r="E641" s="18" t="n">
        <v>27</v>
      </c>
    </row>
    <row r="642" customFormat="false" ht="15" hidden="false" customHeight="true" outlineLevel="0" collapsed="false">
      <c r="A642" s="18" t="s">
        <v>199</v>
      </c>
      <c r="B642" s="18" t="s">
        <v>297</v>
      </c>
      <c r="C642" s="18" t="n">
        <v>79</v>
      </c>
      <c r="D642" s="30" t="n">
        <v>3376.94</v>
      </c>
      <c r="E642" s="18" t="n">
        <v>28</v>
      </c>
    </row>
    <row r="643" customFormat="false" ht="15" hidden="false" customHeight="true" outlineLevel="0" collapsed="false">
      <c r="A643" s="18" t="s">
        <v>199</v>
      </c>
      <c r="B643" s="18" t="s">
        <v>298</v>
      </c>
      <c r="C643" s="18" t="n">
        <v>74</v>
      </c>
      <c r="D643" s="30" t="n">
        <v>3164.45</v>
      </c>
      <c r="E643" s="18" t="n">
        <v>29</v>
      </c>
    </row>
    <row r="644" customFormat="false" ht="15" hidden="false" customHeight="true" outlineLevel="0" collapsed="false">
      <c r="A644" s="18" t="s">
        <v>199</v>
      </c>
      <c r="B644" s="18" t="s">
        <v>299</v>
      </c>
      <c r="C644" s="18" t="n">
        <v>79</v>
      </c>
      <c r="D644" s="30" t="n">
        <v>3273.03</v>
      </c>
      <c r="E644" s="18" t="n">
        <v>30</v>
      </c>
    </row>
    <row r="645" customFormat="false" ht="15" hidden="false" customHeight="true" outlineLevel="0" collapsed="false">
      <c r="A645" s="18" t="s">
        <v>199</v>
      </c>
      <c r="B645" s="18" t="s">
        <v>300</v>
      </c>
      <c r="C645" s="18" t="n">
        <v>77</v>
      </c>
      <c r="D645" s="30" t="n">
        <v>3163.18</v>
      </c>
      <c r="E645" s="18" t="n">
        <v>31</v>
      </c>
    </row>
    <row r="646" customFormat="false" ht="15" hidden="false" customHeight="true" outlineLevel="0" collapsed="false">
      <c r="A646" s="18" t="s">
        <v>199</v>
      </c>
      <c r="B646" s="18" t="s">
        <v>301</v>
      </c>
      <c r="C646" s="18" t="n">
        <v>71</v>
      </c>
      <c r="D646" s="30" t="n">
        <v>2964.47</v>
      </c>
      <c r="E646" s="18" t="n">
        <v>32</v>
      </c>
    </row>
    <row r="647" customFormat="false" ht="15" hidden="false" customHeight="true" outlineLevel="0" collapsed="false">
      <c r="A647" s="18" t="s">
        <v>199</v>
      </c>
      <c r="B647" s="18" t="s">
        <v>302</v>
      </c>
      <c r="C647" s="18" t="n">
        <v>105</v>
      </c>
      <c r="D647" s="30" t="n">
        <v>4501.73</v>
      </c>
      <c r="E647" s="18" t="n">
        <v>33</v>
      </c>
    </row>
    <row r="648" customFormat="false" ht="15" hidden="false" customHeight="true" outlineLevel="0" collapsed="false">
      <c r="A648" s="18" t="s">
        <v>199</v>
      </c>
      <c r="B648" s="18" t="s">
        <v>303</v>
      </c>
      <c r="C648" s="18" t="n">
        <v>81</v>
      </c>
      <c r="D648" s="30" t="n">
        <v>3307.11</v>
      </c>
      <c r="E648" s="18" t="n">
        <v>34</v>
      </c>
    </row>
    <row r="649" customFormat="false" ht="15" hidden="false" customHeight="true" outlineLevel="0" collapsed="false">
      <c r="A649" s="18" t="s">
        <v>199</v>
      </c>
      <c r="B649" s="18" t="s">
        <v>304</v>
      </c>
      <c r="C649" s="18" t="n">
        <v>83</v>
      </c>
      <c r="D649" s="30" t="n">
        <v>3515.13</v>
      </c>
      <c r="E649" s="18" t="n">
        <v>35</v>
      </c>
    </row>
    <row r="650" customFormat="false" ht="15" hidden="false" customHeight="true" outlineLevel="0" collapsed="false">
      <c r="A650" s="18" t="s">
        <v>199</v>
      </c>
      <c r="B650" s="18" t="s">
        <v>305</v>
      </c>
      <c r="C650" s="18" t="n">
        <v>84</v>
      </c>
      <c r="D650" s="30" t="n">
        <v>3466.81</v>
      </c>
      <c r="E650" s="18" t="n">
        <v>36</v>
      </c>
    </row>
    <row r="651" customFormat="false" ht="15" hidden="false" customHeight="true" outlineLevel="0" collapsed="false">
      <c r="A651" s="18" t="s">
        <v>199</v>
      </c>
      <c r="B651" s="18" t="s">
        <v>306</v>
      </c>
      <c r="C651" s="18" t="n">
        <v>78</v>
      </c>
      <c r="D651" s="30" t="n">
        <v>3344.99</v>
      </c>
      <c r="E651" s="18" t="n">
        <v>37</v>
      </c>
    </row>
    <row r="652" customFormat="false" ht="15" hidden="false" customHeight="true" outlineLevel="0" collapsed="false">
      <c r="A652" s="18" t="s">
        <v>199</v>
      </c>
      <c r="B652" s="18" t="s">
        <v>307</v>
      </c>
      <c r="C652" s="18" t="n">
        <v>54</v>
      </c>
      <c r="D652" s="30" t="n">
        <v>2230.94</v>
      </c>
      <c r="E652" s="18" t="n">
        <v>38</v>
      </c>
    </row>
    <row r="653" customFormat="false" ht="15" hidden="false" customHeight="true" outlineLevel="0" collapsed="false">
      <c r="A653" s="18" t="s">
        <v>199</v>
      </c>
      <c r="B653" s="18" t="s">
        <v>308</v>
      </c>
      <c r="C653" s="18" t="n">
        <v>77</v>
      </c>
      <c r="D653" s="30" t="n">
        <v>3305.29</v>
      </c>
      <c r="E653" s="18" t="n">
        <v>39</v>
      </c>
    </row>
    <row r="654" customFormat="false" ht="15" hidden="false" customHeight="true" outlineLevel="0" collapsed="false">
      <c r="A654" s="18" t="s">
        <v>199</v>
      </c>
      <c r="B654" s="18" t="s">
        <v>309</v>
      </c>
      <c r="C654" s="18" t="n">
        <v>62</v>
      </c>
      <c r="D654" s="30" t="n">
        <v>2622.58</v>
      </c>
      <c r="E654" s="18" t="n">
        <v>40</v>
      </c>
    </row>
    <row r="655" customFormat="false" ht="15" hidden="false" customHeight="true" outlineLevel="0" collapsed="false">
      <c r="A655" s="18" t="s">
        <v>199</v>
      </c>
      <c r="B655" s="18" t="s">
        <v>310</v>
      </c>
      <c r="C655" s="18" t="n">
        <v>73</v>
      </c>
      <c r="D655" s="30" t="n">
        <v>2997.62</v>
      </c>
      <c r="E655" s="18" t="n">
        <v>41</v>
      </c>
    </row>
    <row r="656" customFormat="false" ht="15" hidden="false" customHeight="true" outlineLevel="0" collapsed="false">
      <c r="A656" s="18" t="s">
        <v>199</v>
      </c>
      <c r="B656" s="18" t="s">
        <v>311</v>
      </c>
      <c r="C656" s="18" t="n">
        <v>73</v>
      </c>
      <c r="D656" s="30" t="n">
        <v>3146.67</v>
      </c>
      <c r="E656" s="18" t="n">
        <v>42</v>
      </c>
    </row>
    <row r="657" customFormat="false" ht="15" hidden="false" customHeight="true" outlineLevel="0" collapsed="false">
      <c r="A657" s="18" t="s">
        <v>199</v>
      </c>
      <c r="B657" s="18" t="s">
        <v>312</v>
      </c>
      <c r="C657" s="18" t="n">
        <v>55</v>
      </c>
      <c r="D657" s="30" t="n">
        <v>2301.85</v>
      </c>
      <c r="E657" s="18" t="n">
        <v>43</v>
      </c>
    </row>
    <row r="658" customFormat="false" ht="15" hidden="false" customHeight="true" outlineLevel="0" collapsed="false">
      <c r="A658" s="18" t="s">
        <v>199</v>
      </c>
      <c r="B658" s="18" t="s">
        <v>313</v>
      </c>
      <c r="C658" s="18" t="n">
        <v>69</v>
      </c>
      <c r="D658" s="30" t="n">
        <v>2902.77</v>
      </c>
      <c r="E658" s="18" t="n">
        <v>44</v>
      </c>
    </row>
    <row r="659" customFormat="false" ht="15" hidden="false" customHeight="true" outlineLevel="0" collapsed="false">
      <c r="A659" s="18" t="s">
        <v>199</v>
      </c>
      <c r="B659" s="18" t="s">
        <v>314</v>
      </c>
      <c r="C659" s="18" t="n">
        <v>56</v>
      </c>
      <c r="D659" s="30" t="n">
        <v>2397.23</v>
      </c>
      <c r="E659" s="18" t="n">
        <v>45</v>
      </c>
    </row>
    <row r="660" customFormat="false" ht="15" hidden="false" customHeight="true" outlineLevel="0" collapsed="false">
      <c r="A660" s="18" t="s">
        <v>199</v>
      </c>
      <c r="B660" s="18" t="s">
        <v>315</v>
      </c>
      <c r="C660" s="18" t="n">
        <v>48</v>
      </c>
      <c r="D660" s="30" t="n">
        <v>1969.77</v>
      </c>
      <c r="E660" s="18" t="n">
        <v>46</v>
      </c>
    </row>
    <row r="661" customFormat="false" ht="15" hidden="false" customHeight="true" outlineLevel="0" collapsed="false">
      <c r="A661" s="18" t="s">
        <v>199</v>
      </c>
      <c r="B661" s="18" t="s">
        <v>316</v>
      </c>
      <c r="C661" s="18" t="n">
        <v>56</v>
      </c>
      <c r="D661" s="30" t="n">
        <v>2352.41</v>
      </c>
      <c r="E661" s="18" t="n">
        <v>47</v>
      </c>
    </row>
    <row r="662" customFormat="false" ht="15" hidden="false" customHeight="true" outlineLevel="0" collapsed="false">
      <c r="A662" s="18" t="s">
        <v>199</v>
      </c>
      <c r="B662" s="18" t="s">
        <v>317</v>
      </c>
      <c r="C662" s="18" t="n">
        <v>67</v>
      </c>
      <c r="D662" s="30" t="n">
        <v>2827.95</v>
      </c>
      <c r="E662" s="18" t="n">
        <v>48</v>
      </c>
    </row>
    <row r="663" customFormat="false" ht="15" hidden="false" customHeight="true" outlineLevel="0" collapsed="false">
      <c r="A663" s="18" t="s">
        <v>199</v>
      </c>
      <c r="B663" s="18" t="s">
        <v>318</v>
      </c>
      <c r="C663" s="18" t="n">
        <v>67</v>
      </c>
      <c r="D663" s="30" t="n">
        <v>2862.44</v>
      </c>
      <c r="E663" s="18" t="n">
        <v>49</v>
      </c>
    </row>
    <row r="664" customFormat="false" ht="15" hidden="false" customHeight="true" outlineLevel="0" collapsed="false">
      <c r="A664" s="18" t="s">
        <v>199</v>
      </c>
      <c r="B664" s="18" t="s">
        <v>319</v>
      </c>
      <c r="C664" s="18" t="n">
        <v>65</v>
      </c>
      <c r="D664" s="30" t="n">
        <v>2688.51</v>
      </c>
      <c r="E664" s="18" t="n">
        <v>50</v>
      </c>
    </row>
    <row r="665" customFormat="false" ht="15" hidden="false" customHeight="true" outlineLevel="0" collapsed="false">
      <c r="A665" s="18" t="s">
        <v>199</v>
      </c>
      <c r="B665" s="18" t="s">
        <v>320</v>
      </c>
      <c r="C665" s="18" t="n">
        <v>74</v>
      </c>
      <c r="D665" s="30" t="n">
        <v>3141.19</v>
      </c>
      <c r="E665" s="18" t="n">
        <v>51</v>
      </c>
    </row>
    <row r="666" customFormat="false" ht="15" hidden="false" customHeight="true" outlineLevel="0" collapsed="false">
      <c r="A666" s="18" t="s">
        <v>199</v>
      </c>
      <c r="B666" s="18" t="s">
        <v>321</v>
      </c>
      <c r="C666" s="18" t="n">
        <v>69</v>
      </c>
      <c r="D666" s="30" t="n">
        <v>2843.84</v>
      </c>
      <c r="E666" s="18" t="n">
        <v>52</v>
      </c>
    </row>
    <row r="667" customFormat="false" ht="15" hidden="false" customHeight="true" outlineLevel="0" collapsed="false">
      <c r="A667" s="18" t="s">
        <v>202</v>
      </c>
      <c r="B667" s="18" t="s">
        <v>270</v>
      </c>
      <c r="C667" s="18" t="n">
        <v>454</v>
      </c>
      <c r="D667" s="30" t="n">
        <v>5093.66</v>
      </c>
      <c r="E667" s="18" t="n">
        <v>1</v>
      </c>
    </row>
    <row r="668" customFormat="false" ht="15" hidden="false" customHeight="true" outlineLevel="0" collapsed="false">
      <c r="A668" s="18" t="s">
        <v>202</v>
      </c>
      <c r="B668" s="18" t="s">
        <v>271</v>
      </c>
      <c r="C668" s="18" t="n">
        <v>176</v>
      </c>
      <c r="D668" s="30" t="n">
        <v>1989.2</v>
      </c>
      <c r="E668" s="18" t="n">
        <v>2</v>
      </c>
    </row>
    <row r="669" customFormat="false" ht="15" hidden="false" customHeight="true" outlineLevel="0" collapsed="false">
      <c r="A669" s="18" t="s">
        <v>202</v>
      </c>
      <c r="B669" s="18" t="s">
        <v>272</v>
      </c>
      <c r="C669" s="18" t="n">
        <v>353</v>
      </c>
      <c r="D669" s="30" t="n">
        <v>3898.57</v>
      </c>
      <c r="E669" s="18" t="n">
        <v>3</v>
      </c>
    </row>
    <row r="670" customFormat="false" ht="15" hidden="false" customHeight="true" outlineLevel="0" collapsed="false">
      <c r="A670" s="18" t="s">
        <v>202</v>
      </c>
      <c r="B670" s="18" t="s">
        <v>273</v>
      </c>
      <c r="C670" s="18" t="n">
        <v>238</v>
      </c>
      <c r="D670" s="30" t="n">
        <v>2754.87</v>
      </c>
      <c r="E670" s="18" t="n">
        <v>4</v>
      </c>
    </row>
    <row r="671" customFormat="false" ht="15" hidden="false" customHeight="true" outlineLevel="0" collapsed="false">
      <c r="A671" s="18" t="s">
        <v>202</v>
      </c>
      <c r="B671" s="18" t="s">
        <v>274</v>
      </c>
      <c r="C671" s="18" t="n">
        <v>255</v>
      </c>
      <c r="D671" s="30" t="n">
        <v>2936.44</v>
      </c>
      <c r="E671" s="18" t="n">
        <v>5</v>
      </c>
    </row>
    <row r="672" customFormat="false" ht="15" hidden="false" customHeight="true" outlineLevel="0" collapsed="false">
      <c r="A672" s="18" t="s">
        <v>202</v>
      </c>
      <c r="B672" s="18" t="s">
        <v>275</v>
      </c>
      <c r="C672" s="18" t="n">
        <v>209</v>
      </c>
      <c r="D672" s="30" t="n">
        <v>2434.01</v>
      </c>
      <c r="E672" s="18" t="n">
        <v>6</v>
      </c>
    </row>
    <row r="673" customFormat="false" ht="15" hidden="false" customHeight="true" outlineLevel="0" collapsed="false">
      <c r="A673" s="18" t="s">
        <v>202</v>
      </c>
      <c r="B673" s="18" t="s">
        <v>276</v>
      </c>
      <c r="C673" s="18" t="n">
        <v>244</v>
      </c>
      <c r="D673" s="30" t="n">
        <v>2729.15</v>
      </c>
      <c r="E673" s="18" t="n">
        <v>7</v>
      </c>
    </row>
    <row r="674" customFormat="false" ht="15" hidden="false" customHeight="true" outlineLevel="0" collapsed="false">
      <c r="A674" s="18" t="s">
        <v>202</v>
      </c>
      <c r="B674" s="18" t="s">
        <v>277</v>
      </c>
      <c r="C674" s="18" t="n">
        <v>192</v>
      </c>
      <c r="D674" s="30" t="n">
        <v>2152.17</v>
      </c>
      <c r="E674" s="18" t="n">
        <v>8</v>
      </c>
    </row>
    <row r="675" customFormat="false" ht="15" hidden="false" customHeight="true" outlineLevel="0" collapsed="false">
      <c r="A675" s="18" t="s">
        <v>202</v>
      </c>
      <c r="B675" s="18" t="s">
        <v>278</v>
      </c>
      <c r="C675" s="18" t="n">
        <v>368</v>
      </c>
      <c r="D675" s="30" t="n">
        <v>4205.37</v>
      </c>
      <c r="E675" s="18" t="n">
        <v>9</v>
      </c>
    </row>
    <row r="676" customFormat="false" ht="15" hidden="false" customHeight="true" outlineLevel="0" collapsed="false">
      <c r="A676" s="18" t="s">
        <v>202</v>
      </c>
      <c r="B676" s="18" t="s">
        <v>279</v>
      </c>
      <c r="C676" s="18" t="n">
        <v>116</v>
      </c>
      <c r="D676" s="30" t="n">
        <v>1275.65</v>
      </c>
      <c r="E676" s="18" t="n">
        <v>10</v>
      </c>
    </row>
    <row r="677" customFormat="false" ht="15" hidden="false" customHeight="true" outlineLevel="0" collapsed="false">
      <c r="A677" s="18" t="s">
        <v>202</v>
      </c>
      <c r="B677" s="18" t="s">
        <v>280</v>
      </c>
      <c r="C677" s="18" t="n">
        <v>5</v>
      </c>
      <c r="D677" s="30" t="n">
        <v>57.32</v>
      </c>
      <c r="E677" s="18" t="n">
        <v>11</v>
      </c>
    </row>
    <row r="678" customFormat="false" ht="15" hidden="false" customHeight="true" outlineLevel="0" collapsed="false">
      <c r="A678" s="18" t="s">
        <v>202</v>
      </c>
      <c r="B678" s="18" t="s">
        <v>281</v>
      </c>
      <c r="C678" s="18" t="n">
        <v>134</v>
      </c>
      <c r="D678" s="30" t="n">
        <v>1516.48</v>
      </c>
      <c r="E678" s="18" t="n">
        <v>12</v>
      </c>
    </row>
    <row r="679" customFormat="false" ht="15" hidden="false" customHeight="true" outlineLevel="0" collapsed="false">
      <c r="A679" s="18" t="s">
        <v>202</v>
      </c>
      <c r="B679" s="18" t="s">
        <v>282</v>
      </c>
      <c r="C679" s="18" t="n">
        <v>115</v>
      </c>
      <c r="D679" s="30" t="n">
        <v>1289.95</v>
      </c>
      <c r="E679" s="18" t="n">
        <v>13</v>
      </c>
    </row>
    <row r="680" customFormat="false" ht="15" hidden="false" customHeight="true" outlineLevel="0" collapsed="false">
      <c r="A680" s="18" t="s">
        <v>202</v>
      </c>
      <c r="B680" s="18" t="s">
        <v>283</v>
      </c>
      <c r="C680" s="18" t="n">
        <v>122</v>
      </c>
      <c r="D680" s="30" t="n">
        <v>1342.17</v>
      </c>
      <c r="E680" s="18" t="n">
        <v>14</v>
      </c>
    </row>
    <row r="681" customFormat="false" ht="15" hidden="false" customHeight="true" outlineLevel="0" collapsed="false">
      <c r="A681" s="18" t="s">
        <v>202</v>
      </c>
      <c r="B681" s="18" t="s">
        <v>284</v>
      </c>
      <c r="C681" s="18" t="n">
        <v>161</v>
      </c>
      <c r="D681" s="30" t="n">
        <v>1871.2</v>
      </c>
      <c r="E681" s="18" t="n">
        <v>15</v>
      </c>
    </row>
    <row r="682" customFormat="false" ht="15" hidden="false" customHeight="true" outlineLevel="0" collapsed="false">
      <c r="A682" s="18" t="s">
        <v>202</v>
      </c>
      <c r="B682" s="18" t="s">
        <v>285</v>
      </c>
      <c r="C682" s="18" t="n">
        <v>110</v>
      </c>
      <c r="D682" s="30" t="n">
        <v>1263.86</v>
      </c>
      <c r="E682" s="18" t="n">
        <v>16</v>
      </c>
    </row>
    <row r="683" customFormat="false" ht="15" hidden="false" customHeight="true" outlineLevel="0" collapsed="false">
      <c r="A683" s="18" t="s">
        <v>202</v>
      </c>
      <c r="B683" s="18" t="s">
        <v>286</v>
      </c>
      <c r="C683" s="18" t="n">
        <v>144</v>
      </c>
      <c r="D683" s="30" t="n">
        <v>1665.94</v>
      </c>
      <c r="E683" s="18" t="n">
        <v>17</v>
      </c>
    </row>
    <row r="684" customFormat="false" ht="15" hidden="false" customHeight="true" outlineLevel="0" collapsed="false">
      <c r="A684" s="18" t="s">
        <v>202</v>
      </c>
      <c r="B684" s="18" t="s">
        <v>287</v>
      </c>
      <c r="C684" s="18" t="n">
        <v>101</v>
      </c>
      <c r="D684" s="30" t="n">
        <v>1123.83</v>
      </c>
      <c r="E684" s="18" t="n">
        <v>18</v>
      </c>
    </row>
    <row r="685" customFormat="false" ht="15" hidden="false" customHeight="true" outlineLevel="0" collapsed="false">
      <c r="A685" s="18" t="s">
        <v>202</v>
      </c>
      <c r="B685" s="18" t="s">
        <v>288</v>
      </c>
      <c r="C685" s="18" t="n">
        <v>189</v>
      </c>
      <c r="D685" s="30" t="n">
        <v>2175.33</v>
      </c>
      <c r="E685" s="18" t="n">
        <v>19</v>
      </c>
    </row>
    <row r="686" customFormat="false" ht="15" hidden="false" customHeight="true" outlineLevel="0" collapsed="false">
      <c r="A686" s="18" t="s">
        <v>202</v>
      </c>
      <c r="B686" s="18" t="s">
        <v>289</v>
      </c>
      <c r="C686" s="18" t="n">
        <v>375</v>
      </c>
      <c r="D686" s="30" t="n">
        <v>4176.42</v>
      </c>
      <c r="E686" s="18" t="n">
        <v>20</v>
      </c>
    </row>
    <row r="687" customFormat="false" ht="15" hidden="false" customHeight="true" outlineLevel="0" collapsed="false">
      <c r="A687" s="18" t="s">
        <v>202</v>
      </c>
      <c r="B687" s="18" t="s">
        <v>290</v>
      </c>
      <c r="C687" s="18" t="n">
        <v>168</v>
      </c>
      <c r="D687" s="30" t="n">
        <v>1954.08</v>
      </c>
      <c r="E687" s="18" t="n">
        <v>21</v>
      </c>
    </row>
    <row r="688" customFormat="false" ht="15" hidden="false" customHeight="true" outlineLevel="0" collapsed="false">
      <c r="A688" s="18" t="s">
        <v>202</v>
      </c>
      <c r="B688" s="18" t="s">
        <v>291</v>
      </c>
      <c r="C688" s="18" t="n">
        <v>103</v>
      </c>
      <c r="D688" s="30" t="n">
        <v>1175.44</v>
      </c>
      <c r="E688" s="18" t="n">
        <v>22</v>
      </c>
    </row>
    <row r="689" customFormat="false" ht="15" hidden="false" customHeight="true" outlineLevel="0" collapsed="false">
      <c r="A689" s="18" t="s">
        <v>202</v>
      </c>
      <c r="B689" s="18" t="s">
        <v>292</v>
      </c>
      <c r="C689" s="18" t="n">
        <v>0</v>
      </c>
      <c r="D689" s="30" t="n">
        <v>0</v>
      </c>
      <c r="E689" s="18" t="n">
        <v>23</v>
      </c>
    </row>
    <row r="690" customFormat="false" ht="15" hidden="false" customHeight="true" outlineLevel="0" collapsed="false">
      <c r="A690" s="18" t="s">
        <v>202</v>
      </c>
      <c r="B690" s="18" t="s">
        <v>293</v>
      </c>
      <c r="C690" s="18" t="n">
        <v>116</v>
      </c>
      <c r="D690" s="30" t="n">
        <v>1324.18</v>
      </c>
      <c r="E690" s="18" t="n">
        <v>24</v>
      </c>
    </row>
    <row r="691" customFormat="false" ht="15" hidden="false" customHeight="true" outlineLevel="0" collapsed="false">
      <c r="A691" s="18" t="s">
        <v>202</v>
      </c>
      <c r="B691" s="18" t="s">
        <v>294</v>
      </c>
      <c r="C691" s="18" t="n">
        <v>291</v>
      </c>
      <c r="D691" s="30" t="n">
        <v>3370.82</v>
      </c>
      <c r="E691" s="18" t="n">
        <v>25</v>
      </c>
    </row>
    <row r="692" customFormat="false" ht="15" hidden="false" customHeight="true" outlineLevel="0" collapsed="false">
      <c r="A692" s="18" t="s">
        <v>202</v>
      </c>
      <c r="B692" s="18" t="s">
        <v>295</v>
      </c>
      <c r="C692" s="18" t="n">
        <v>115</v>
      </c>
      <c r="D692" s="30" t="n">
        <v>1290.05</v>
      </c>
      <c r="E692" s="18" t="n">
        <v>26</v>
      </c>
    </row>
    <row r="693" customFormat="false" ht="15" hidden="false" customHeight="true" outlineLevel="0" collapsed="false">
      <c r="A693" s="18" t="s">
        <v>202</v>
      </c>
      <c r="B693" s="18" t="s">
        <v>296</v>
      </c>
      <c r="C693" s="18" t="n">
        <v>279</v>
      </c>
      <c r="D693" s="30" t="n">
        <v>3090.26</v>
      </c>
      <c r="E693" s="18" t="n">
        <v>27</v>
      </c>
    </row>
    <row r="694" customFormat="false" ht="15" hidden="false" customHeight="true" outlineLevel="0" collapsed="false">
      <c r="A694" s="18" t="s">
        <v>202</v>
      </c>
      <c r="B694" s="18" t="s">
        <v>297</v>
      </c>
      <c r="C694" s="18" t="n">
        <v>71</v>
      </c>
      <c r="D694" s="30" t="n">
        <v>823.15</v>
      </c>
      <c r="E694" s="18" t="n">
        <v>28</v>
      </c>
    </row>
    <row r="695" customFormat="false" ht="15" hidden="false" customHeight="true" outlineLevel="0" collapsed="false">
      <c r="A695" s="18" t="s">
        <v>202</v>
      </c>
      <c r="B695" s="18" t="s">
        <v>298</v>
      </c>
      <c r="C695" s="18" t="n">
        <v>137</v>
      </c>
      <c r="D695" s="30" t="n">
        <v>1535.22</v>
      </c>
      <c r="E695" s="18" t="n">
        <v>29</v>
      </c>
    </row>
    <row r="696" customFormat="false" ht="15" hidden="false" customHeight="true" outlineLevel="0" collapsed="false">
      <c r="A696" s="18" t="s">
        <v>202</v>
      </c>
      <c r="B696" s="18" t="s">
        <v>299</v>
      </c>
      <c r="C696" s="18" t="n">
        <v>321</v>
      </c>
      <c r="D696" s="30" t="n">
        <v>3570.88</v>
      </c>
      <c r="E696" s="18" t="n">
        <v>30</v>
      </c>
    </row>
    <row r="697" customFormat="false" ht="15" hidden="false" customHeight="true" outlineLevel="0" collapsed="false">
      <c r="A697" s="18" t="s">
        <v>202</v>
      </c>
      <c r="B697" s="18" t="s">
        <v>300</v>
      </c>
      <c r="C697" s="18" t="n">
        <v>401</v>
      </c>
      <c r="D697" s="30" t="n">
        <v>4435.85</v>
      </c>
      <c r="E697" s="18" t="n">
        <v>31</v>
      </c>
    </row>
    <row r="698" customFormat="false" ht="15" hidden="false" customHeight="true" outlineLevel="0" collapsed="false">
      <c r="A698" s="18" t="s">
        <v>202</v>
      </c>
      <c r="B698" s="18" t="s">
        <v>301</v>
      </c>
      <c r="C698" s="18" t="n">
        <v>139</v>
      </c>
      <c r="D698" s="30" t="n">
        <v>1619.72</v>
      </c>
      <c r="E698" s="18" t="n">
        <v>32</v>
      </c>
    </row>
    <row r="699" customFormat="false" ht="15" hidden="false" customHeight="true" outlineLevel="0" collapsed="false">
      <c r="A699" s="18" t="s">
        <v>202</v>
      </c>
      <c r="B699" s="18" t="s">
        <v>302</v>
      </c>
      <c r="C699" s="18" t="n">
        <v>430</v>
      </c>
      <c r="D699" s="30" t="n">
        <v>4760.28</v>
      </c>
      <c r="E699" s="18" t="n">
        <v>33</v>
      </c>
    </row>
    <row r="700" customFormat="false" ht="15" hidden="false" customHeight="true" outlineLevel="0" collapsed="false">
      <c r="A700" s="18" t="s">
        <v>202</v>
      </c>
      <c r="B700" s="18" t="s">
        <v>303</v>
      </c>
      <c r="C700" s="18" t="n">
        <v>97</v>
      </c>
      <c r="D700" s="30" t="n">
        <v>1103.33</v>
      </c>
      <c r="E700" s="18" t="n">
        <v>34</v>
      </c>
    </row>
    <row r="701" customFormat="false" ht="15" hidden="false" customHeight="true" outlineLevel="0" collapsed="false">
      <c r="A701" s="18" t="s">
        <v>202</v>
      </c>
      <c r="B701" s="18" t="s">
        <v>304</v>
      </c>
      <c r="C701" s="18" t="n">
        <v>259</v>
      </c>
      <c r="D701" s="30" t="n">
        <v>2954.91</v>
      </c>
      <c r="E701" s="18" t="n">
        <v>35</v>
      </c>
    </row>
    <row r="702" customFormat="false" ht="15" hidden="false" customHeight="true" outlineLevel="0" collapsed="false">
      <c r="A702" s="18" t="s">
        <v>202</v>
      </c>
      <c r="B702" s="18" t="s">
        <v>305</v>
      </c>
      <c r="C702" s="18" t="n">
        <v>229</v>
      </c>
      <c r="D702" s="30" t="n">
        <v>2613.82</v>
      </c>
      <c r="E702" s="18" t="n">
        <v>36</v>
      </c>
    </row>
    <row r="703" customFormat="false" ht="15" hidden="false" customHeight="true" outlineLevel="0" collapsed="false">
      <c r="A703" s="18" t="s">
        <v>202</v>
      </c>
      <c r="B703" s="18" t="s">
        <v>306</v>
      </c>
      <c r="C703" s="18" t="n">
        <v>203</v>
      </c>
      <c r="D703" s="30" t="n">
        <v>2327.29</v>
      </c>
      <c r="E703" s="18" t="n">
        <v>37</v>
      </c>
    </row>
    <row r="704" customFormat="false" ht="15" hidden="false" customHeight="true" outlineLevel="0" collapsed="false">
      <c r="A704" s="18" t="s">
        <v>202</v>
      </c>
      <c r="B704" s="18" t="s">
        <v>307</v>
      </c>
      <c r="C704" s="18" t="n">
        <v>151</v>
      </c>
      <c r="D704" s="30" t="n">
        <v>1693.53</v>
      </c>
      <c r="E704" s="18" t="n">
        <v>38</v>
      </c>
    </row>
    <row r="705" customFormat="false" ht="15" hidden="false" customHeight="true" outlineLevel="0" collapsed="false">
      <c r="A705" s="18" t="s">
        <v>202</v>
      </c>
      <c r="B705" s="18" t="s">
        <v>308</v>
      </c>
      <c r="C705" s="18" t="n">
        <v>24</v>
      </c>
      <c r="D705" s="30" t="n">
        <v>266.3</v>
      </c>
      <c r="E705" s="18" t="n">
        <v>39</v>
      </c>
    </row>
    <row r="706" customFormat="false" ht="15" hidden="false" customHeight="true" outlineLevel="0" collapsed="false">
      <c r="A706" s="18" t="s">
        <v>202</v>
      </c>
      <c r="B706" s="18" t="s">
        <v>309</v>
      </c>
      <c r="C706" s="18" t="n">
        <v>97</v>
      </c>
      <c r="D706" s="30" t="n">
        <v>1082.27</v>
      </c>
      <c r="E706" s="18" t="n">
        <v>40</v>
      </c>
    </row>
    <row r="707" customFormat="false" ht="15" hidden="false" customHeight="true" outlineLevel="0" collapsed="false">
      <c r="A707" s="18" t="s">
        <v>202</v>
      </c>
      <c r="B707" s="18" t="s">
        <v>310</v>
      </c>
      <c r="C707" s="18" t="n">
        <v>146</v>
      </c>
      <c r="D707" s="30" t="n">
        <v>1627.57</v>
      </c>
      <c r="E707" s="18" t="n">
        <v>41</v>
      </c>
    </row>
    <row r="708" customFormat="false" ht="15" hidden="false" customHeight="true" outlineLevel="0" collapsed="false">
      <c r="A708" s="18" t="s">
        <v>202</v>
      </c>
      <c r="B708" s="18" t="s">
        <v>311</v>
      </c>
      <c r="C708" s="18" t="n">
        <v>247</v>
      </c>
      <c r="D708" s="30" t="n">
        <v>2767.55</v>
      </c>
      <c r="E708" s="18" t="n">
        <v>42</v>
      </c>
    </row>
    <row r="709" customFormat="false" ht="15" hidden="false" customHeight="true" outlineLevel="0" collapsed="false">
      <c r="A709" s="18" t="s">
        <v>202</v>
      </c>
      <c r="B709" s="18" t="s">
        <v>312</v>
      </c>
      <c r="C709" s="18" t="n">
        <v>254</v>
      </c>
      <c r="D709" s="30" t="n">
        <v>2936.77</v>
      </c>
      <c r="E709" s="18" t="n">
        <v>43</v>
      </c>
    </row>
    <row r="710" customFormat="false" ht="15" hidden="false" customHeight="true" outlineLevel="0" collapsed="false">
      <c r="A710" s="18" t="s">
        <v>202</v>
      </c>
      <c r="B710" s="18" t="s">
        <v>313</v>
      </c>
      <c r="C710" s="18" t="n">
        <v>106</v>
      </c>
      <c r="D710" s="30" t="n">
        <v>1219</v>
      </c>
      <c r="E710" s="18" t="n">
        <v>44</v>
      </c>
    </row>
    <row r="711" customFormat="false" ht="15" hidden="false" customHeight="true" outlineLevel="0" collapsed="false">
      <c r="A711" s="18" t="s">
        <v>202</v>
      </c>
      <c r="B711" s="18" t="s">
        <v>314</v>
      </c>
      <c r="C711" s="18" t="n">
        <v>112</v>
      </c>
      <c r="D711" s="30" t="n">
        <v>1246.28</v>
      </c>
      <c r="E711" s="18" t="n">
        <v>45</v>
      </c>
    </row>
    <row r="712" customFormat="false" ht="15" hidden="false" customHeight="true" outlineLevel="0" collapsed="false">
      <c r="A712" s="18" t="s">
        <v>202</v>
      </c>
      <c r="B712" s="18" t="s">
        <v>315</v>
      </c>
      <c r="C712" s="18" t="n">
        <v>81</v>
      </c>
      <c r="D712" s="30" t="n">
        <v>939.47</v>
      </c>
      <c r="E712" s="18" t="n">
        <v>46</v>
      </c>
    </row>
    <row r="713" customFormat="false" ht="15" hidden="false" customHeight="true" outlineLevel="0" collapsed="false">
      <c r="A713" s="18" t="s">
        <v>202</v>
      </c>
      <c r="B713" s="18" t="s">
        <v>316</v>
      </c>
      <c r="C713" s="18" t="n">
        <v>93</v>
      </c>
      <c r="D713" s="30" t="n">
        <v>1057.11</v>
      </c>
      <c r="E713" s="18" t="n">
        <v>47</v>
      </c>
    </row>
    <row r="714" customFormat="false" ht="15" hidden="false" customHeight="true" outlineLevel="0" collapsed="false">
      <c r="A714" s="18" t="s">
        <v>202</v>
      </c>
      <c r="B714" s="18" t="s">
        <v>317</v>
      </c>
      <c r="C714" s="18" t="n">
        <v>285</v>
      </c>
      <c r="D714" s="30" t="n">
        <v>3236.71</v>
      </c>
      <c r="E714" s="18" t="n">
        <v>48</v>
      </c>
    </row>
    <row r="715" customFormat="false" ht="15" hidden="false" customHeight="true" outlineLevel="0" collapsed="false">
      <c r="A715" s="18" t="s">
        <v>202</v>
      </c>
      <c r="B715" s="18" t="s">
        <v>318</v>
      </c>
      <c r="C715" s="18" t="n">
        <v>364</v>
      </c>
      <c r="D715" s="30" t="n">
        <v>4147.76</v>
      </c>
      <c r="E715" s="18" t="n">
        <v>49</v>
      </c>
    </row>
    <row r="716" customFormat="false" ht="15" hidden="false" customHeight="true" outlineLevel="0" collapsed="false">
      <c r="A716" s="18" t="s">
        <v>202</v>
      </c>
      <c r="B716" s="18" t="s">
        <v>319</v>
      </c>
      <c r="C716" s="18" t="n">
        <v>60</v>
      </c>
      <c r="D716" s="30" t="n">
        <v>664.33</v>
      </c>
      <c r="E716" s="18" t="n">
        <v>50</v>
      </c>
    </row>
    <row r="717" customFormat="false" ht="15" hidden="false" customHeight="true" outlineLevel="0" collapsed="false">
      <c r="A717" s="18" t="s">
        <v>202</v>
      </c>
      <c r="B717" s="18" t="s">
        <v>320</v>
      </c>
      <c r="C717" s="18" t="n">
        <v>45</v>
      </c>
      <c r="D717" s="30" t="n">
        <v>514.74</v>
      </c>
      <c r="E717" s="18" t="n">
        <v>51</v>
      </c>
    </row>
    <row r="718" customFormat="false" ht="15" hidden="false" customHeight="true" outlineLevel="0" collapsed="false">
      <c r="A718" s="18" t="s">
        <v>202</v>
      </c>
      <c r="B718" s="18" t="s">
        <v>321</v>
      </c>
      <c r="C718" s="18" t="n">
        <v>120</v>
      </c>
      <c r="D718" s="30" t="n">
        <v>1323.69</v>
      </c>
      <c r="E718" s="18" t="n">
        <v>52</v>
      </c>
    </row>
    <row r="719" customFormat="false" ht="15" hidden="false" customHeight="true" outlineLevel="0" collapsed="false">
      <c r="A719" s="18" t="s">
        <v>206</v>
      </c>
      <c r="B719" s="18" t="s">
        <v>270</v>
      </c>
      <c r="C719" s="18" t="n">
        <v>77</v>
      </c>
      <c r="D719" s="30" t="n">
        <v>896.06</v>
      </c>
      <c r="E719" s="18" t="n">
        <v>1</v>
      </c>
    </row>
    <row r="720" customFormat="false" ht="15" hidden="false" customHeight="true" outlineLevel="0" collapsed="false">
      <c r="A720" s="18" t="s">
        <v>206</v>
      </c>
      <c r="B720" s="18" t="s">
        <v>271</v>
      </c>
      <c r="C720" s="18" t="n">
        <v>94</v>
      </c>
      <c r="D720" s="30" t="n">
        <v>1095.03</v>
      </c>
      <c r="E720" s="18" t="n">
        <v>2</v>
      </c>
    </row>
    <row r="721" customFormat="false" ht="15" hidden="false" customHeight="true" outlineLevel="0" collapsed="false">
      <c r="A721" s="18" t="s">
        <v>206</v>
      </c>
      <c r="B721" s="18" t="s">
        <v>272</v>
      </c>
      <c r="C721" s="18" t="n">
        <v>68</v>
      </c>
      <c r="D721" s="30" t="n">
        <v>779.92</v>
      </c>
      <c r="E721" s="18" t="n">
        <v>3</v>
      </c>
    </row>
    <row r="722" customFormat="false" ht="15" hidden="false" customHeight="true" outlineLevel="0" collapsed="false">
      <c r="A722" s="18" t="s">
        <v>206</v>
      </c>
      <c r="B722" s="18" t="s">
        <v>273</v>
      </c>
      <c r="C722" s="18" t="n">
        <v>150</v>
      </c>
      <c r="D722" s="30" t="n">
        <v>1764.68</v>
      </c>
      <c r="E722" s="18" t="n">
        <v>4</v>
      </c>
    </row>
    <row r="723" customFormat="false" ht="15" hidden="false" customHeight="true" outlineLevel="0" collapsed="false">
      <c r="A723" s="18" t="s">
        <v>206</v>
      </c>
      <c r="B723" s="18" t="s">
        <v>274</v>
      </c>
      <c r="C723" s="18" t="n">
        <v>68</v>
      </c>
      <c r="D723" s="30" t="n">
        <v>781.3</v>
      </c>
      <c r="E723" s="18" t="n">
        <v>5</v>
      </c>
    </row>
    <row r="724" customFormat="false" ht="15" hidden="false" customHeight="true" outlineLevel="0" collapsed="false">
      <c r="A724" s="18" t="s">
        <v>206</v>
      </c>
      <c r="B724" s="18" t="s">
        <v>275</v>
      </c>
      <c r="C724" s="18" t="n">
        <v>76</v>
      </c>
      <c r="D724" s="30" t="n">
        <v>884.14</v>
      </c>
      <c r="E724" s="18" t="n">
        <v>6</v>
      </c>
    </row>
    <row r="725" customFormat="false" ht="15" hidden="false" customHeight="true" outlineLevel="0" collapsed="false">
      <c r="A725" s="18" t="s">
        <v>206</v>
      </c>
      <c r="B725" s="18" t="s">
        <v>276</v>
      </c>
      <c r="C725" s="18" t="n">
        <v>143</v>
      </c>
      <c r="D725" s="30" t="n">
        <v>1641.75</v>
      </c>
      <c r="E725" s="18" t="n">
        <v>7</v>
      </c>
    </row>
    <row r="726" customFormat="false" ht="15" hidden="false" customHeight="true" outlineLevel="0" collapsed="false">
      <c r="A726" s="18" t="s">
        <v>206</v>
      </c>
      <c r="B726" s="18" t="s">
        <v>277</v>
      </c>
      <c r="C726" s="18" t="n">
        <v>31</v>
      </c>
      <c r="D726" s="30" t="n">
        <v>364.57</v>
      </c>
      <c r="E726" s="18" t="n">
        <v>8</v>
      </c>
    </row>
    <row r="727" customFormat="false" ht="15" hidden="false" customHeight="true" outlineLevel="0" collapsed="false">
      <c r="A727" s="18" t="s">
        <v>206</v>
      </c>
      <c r="B727" s="18" t="s">
        <v>278</v>
      </c>
      <c r="C727" s="18" t="n">
        <v>138</v>
      </c>
      <c r="D727" s="30" t="n">
        <v>1579.85</v>
      </c>
      <c r="E727" s="18" t="n">
        <v>9</v>
      </c>
    </row>
    <row r="728" customFormat="false" ht="15" hidden="false" customHeight="true" outlineLevel="0" collapsed="false">
      <c r="A728" s="18" t="s">
        <v>206</v>
      </c>
      <c r="B728" s="18" t="s">
        <v>279</v>
      </c>
      <c r="C728" s="18" t="n">
        <v>150</v>
      </c>
      <c r="D728" s="30" t="n">
        <v>1715.4</v>
      </c>
      <c r="E728" s="18" t="n">
        <v>10</v>
      </c>
    </row>
    <row r="729" customFormat="false" ht="15" hidden="false" customHeight="true" outlineLevel="0" collapsed="false">
      <c r="A729" s="18" t="s">
        <v>206</v>
      </c>
      <c r="B729" s="18" t="s">
        <v>280</v>
      </c>
      <c r="C729" s="18" t="n">
        <v>121</v>
      </c>
      <c r="D729" s="30" t="n">
        <v>1364.3</v>
      </c>
      <c r="E729" s="18" t="n">
        <v>11</v>
      </c>
    </row>
    <row r="730" customFormat="false" ht="15" hidden="false" customHeight="true" outlineLevel="0" collapsed="false">
      <c r="A730" s="18" t="s">
        <v>206</v>
      </c>
      <c r="B730" s="18" t="s">
        <v>281</v>
      </c>
      <c r="C730" s="18" t="n">
        <v>55</v>
      </c>
      <c r="D730" s="30" t="n">
        <v>611.95</v>
      </c>
      <c r="E730" s="18" t="n">
        <v>12</v>
      </c>
    </row>
    <row r="731" customFormat="false" ht="15" hidden="false" customHeight="true" outlineLevel="0" collapsed="false">
      <c r="A731" s="18" t="s">
        <v>206</v>
      </c>
      <c r="B731" s="18" t="s">
        <v>282</v>
      </c>
      <c r="C731" s="18" t="n">
        <v>115</v>
      </c>
      <c r="D731" s="30" t="n">
        <v>1340.36</v>
      </c>
      <c r="E731" s="18" t="n">
        <v>13</v>
      </c>
    </row>
    <row r="732" customFormat="false" ht="15" hidden="false" customHeight="true" outlineLevel="0" collapsed="false">
      <c r="A732" s="18" t="s">
        <v>206</v>
      </c>
      <c r="B732" s="18" t="s">
        <v>283</v>
      </c>
      <c r="C732" s="18" t="n">
        <v>46</v>
      </c>
      <c r="D732" s="30" t="n">
        <v>512.81</v>
      </c>
      <c r="E732" s="18" t="n">
        <v>14</v>
      </c>
    </row>
    <row r="733" customFormat="false" ht="15" hidden="false" customHeight="true" outlineLevel="0" collapsed="false">
      <c r="A733" s="18" t="s">
        <v>206</v>
      </c>
      <c r="B733" s="18" t="s">
        <v>284</v>
      </c>
      <c r="C733" s="18" t="n">
        <v>91</v>
      </c>
      <c r="D733" s="30" t="n">
        <v>1022.12</v>
      </c>
      <c r="E733" s="18" t="n">
        <v>15</v>
      </c>
    </row>
    <row r="734" customFormat="false" ht="15" hidden="false" customHeight="true" outlineLevel="0" collapsed="false">
      <c r="A734" s="18" t="s">
        <v>206</v>
      </c>
      <c r="B734" s="18" t="s">
        <v>285</v>
      </c>
      <c r="C734" s="18" t="n">
        <v>82</v>
      </c>
      <c r="D734" s="30" t="n">
        <v>921.77</v>
      </c>
      <c r="E734" s="18" t="n">
        <v>16</v>
      </c>
    </row>
    <row r="735" customFormat="false" ht="15" hidden="false" customHeight="true" outlineLevel="0" collapsed="false">
      <c r="A735" s="18" t="s">
        <v>206</v>
      </c>
      <c r="B735" s="18" t="s">
        <v>286</v>
      </c>
      <c r="C735" s="18" t="n">
        <v>95</v>
      </c>
      <c r="D735" s="30" t="n">
        <v>1078.29</v>
      </c>
      <c r="E735" s="18" t="n">
        <v>17</v>
      </c>
    </row>
    <row r="736" customFormat="false" ht="15" hidden="false" customHeight="true" outlineLevel="0" collapsed="false">
      <c r="A736" s="18" t="s">
        <v>206</v>
      </c>
      <c r="B736" s="18" t="s">
        <v>287</v>
      </c>
      <c r="C736" s="18" t="n">
        <v>86</v>
      </c>
      <c r="D736" s="30" t="n">
        <v>981.23</v>
      </c>
      <c r="E736" s="18" t="n">
        <v>18</v>
      </c>
    </row>
    <row r="737" customFormat="false" ht="15" hidden="false" customHeight="true" outlineLevel="0" collapsed="false">
      <c r="A737" s="18" t="s">
        <v>206</v>
      </c>
      <c r="B737" s="18" t="s">
        <v>288</v>
      </c>
      <c r="C737" s="18" t="n">
        <v>96</v>
      </c>
      <c r="D737" s="30" t="n">
        <v>1083.33</v>
      </c>
      <c r="E737" s="18" t="n">
        <v>19</v>
      </c>
    </row>
    <row r="738" customFormat="false" ht="15" hidden="false" customHeight="true" outlineLevel="0" collapsed="false">
      <c r="A738" s="18" t="s">
        <v>206</v>
      </c>
      <c r="B738" s="18" t="s">
        <v>289</v>
      </c>
      <c r="C738" s="18" t="n">
        <v>106</v>
      </c>
      <c r="D738" s="30" t="n">
        <v>1215.84</v>
      </c>
      <c r="E738" s="18" t="n">
        <v>20</v>
      </c>
    </row>
    <row r="739" customFormat="false" ht="15" hidden="false" customHeight="true" outlineLevel="0" collapsed="false">
      <c r="A739" s="18" t="s">
        <v>206</v>
      </c>
      <c r="B739" s="18" t="s">
        <v>290</v>
      </c>
      <c r="C739" s="18" t="n">
        <v>94</v>
      </c>
      <c r="D739" s="30" t="n">
        <v>1100.8</v>
      </c>
      <c r="E739" s="18" t="n">
        <v>21</v>
      </c>
    </row>
    <row r="740" customFormat="false" ht="15" hidden="false" customHeight="true" outlineLevel="0" collapsed="false">
      <c r="A740" s="18" t="s">
        <v>206</v>
      </c>
      <c r="B740" s="18" t="s">
        <v>291</v>
      </c>
      <c r="C740" s="18" t="n">
        <v>38</v>
      </c>
      <c r="D740" s="30" t="n">
        <v>428.64</v>
      </c>
      <c r="E740" s="18" t="n">
        <v>22</v>
      </c>
    </row>
    <row r="741" customFormat="false" ht="15" hidden="false" customHeight="true" outlineLevel="0" collapsed="false">
      <c r="A741" s="18" t="s">
        <v>206</v>
      </c>
      <c r="B741" s="18" t="s">
        <v>292</v>
      </c>
      <c r="C741" s="18" t="n">
        <v>101</v>
      </c>
      <c r="D741" s="30" t="n">
        <v>1141.12</v>
      </c>
      <c r="E741" s="18" t="n">
        <v>23</v>
      </c>
    </row>
    <row r="742" customFormat="false" ht="15" hidden="false" customHeight="true" outlineLevel="0" collapsed="false">
      <c r="A742" s="18" t="s">
        <v>206</v>
      </c>
      <c r="B742" s="18" t="s">
        <v>293</v>
      </c>
      <c r="C742" s="18" t="n">
        <v>100</v>
      </c>
      <c r="D742" s="30" t="n">
        <v>1152.67</v>
      </c>
      <c r="E742" s="18" t="n">
        <v>24</v>
      </c>
    </row>
    <row r="743" customFormat="false" ht="15" hidden="false" customHeight="true" outlineLevel="0" collapsed="false">
      <c r="A743" s="18" t="s">
        <v>206</v>
      </c>
      <c r="B743" s="18" t="s">
        <v>294</v>
      </c>
      <c r="C743" s="18" t="n">
        <v>116</v>
      </c>
      <c r="D743" s="30" t="n">
        <v>1369.66</v>
      </c>
      <c r="E743" s="18" t="n">
        <v>25</v>
      </c>
    </row>
    <row r="744" customFormat="false" ht="15" hidden="false" customHeight="true" outlineLevel="0" collapsed="false">
      <c r="A744" s="18" t="s">
        <v>206</v>
      </c>
      <c r="B744" s="18" t="s">
        <v>295</v>
      </c>
      <c r="C744" s="18" t="n">
        <v>113</v>
      </c>
      <c r="D744" s="30" t="n">
        <v>1306.92</v>
      </c>
      <c r="E744" s="18" t="n">
        <v>26</v>
      </c>
    </row>
    <row r="745" customFormat="false" ht="15" hidden="false" customHeight="true" outlineLevel="0" collapsed="false">
      <c r="A745" s="18" t="s">
        <v>206</v>
      </c>
      <c r="B745" s="18" t="s">
        <v>296</v>
      </c>
      <c r="C745" s="18" t="n">
        <v>37</v>
      </c>
      <c r="D745" s="30" t="n">
        <v>435.41</v>
      </c>
      <c r="E745" s="18" t="n">
        <v>27</v>
      </c>
    </row>
    <row r="746" customFormat="false" ht="15" hidden="false" customHeight="true" outlineLevel="0" collapsed="false">
      <c r="A746" s="18" t="s">
        <v>206</v>
      </c>
      <c r="B746" s="18" t="s">
        <v>297</v>
      </c>
      <c r="C746" s="18" t="n">
        <v>141</v>
      </c>
      <c r="D746" s="30" t="n">
        <v>1620.04</v>
      </c>
      <c r="E746" s="18" t="n">
        <v>28</v>
      </c>
    </row>
    <row r="747" customFormat="false" ht="15" hidden="false" customHeight="true" outlineLevel="0" collapsed="false">
      <c r="A747" s="18" t="s">
        <v>206</v>
      </c>
      <c r="B747" s="18" t="s">
        <v>298</v>
      </c>
      <c r="C747" s="18" t="n">
        <v>77</v>
      </c>
      <c r="D747" s="30" t="n">
        <v>872.76</v>
      </c>
      <c r="E747" s="18" t="n">
        <v>29</v>
      </c>
    </row>
    <row r="748" customFormat="false" ht="15" hidden="false" customHeight="true" outlineLevel="0" collapsed="false">
      <c r="A748" s="18" t="s">
        <v>206</v>
      </c>
      <c r="B748" s="18" t="s">
        <v>299</v>
      </c>
      <c r="C748" s="18" t="n">
        <v>134</v>
      </c>
      <c r="D748" s="30" t="n">
        <v>1581.76</v>
      </c>
      <c r="E748" s="18" t="n">
        <v>30</v>
      </c>
    </row>
    <row r="749" customFormat="false" ht="15" hidden="false" customHeight="true" outlineLevel="0" collapsed="false">
      <c r="A749" s="18" t="s">
        <v>206</v>
      </c>
      <c r="B749" s="18" t="s">
        <v>300</v>
      </c>
      <c r="C749" s="18" t="n">
        <v>79</v>
      </c>
      <c r="D749" s="30" t="n">
        <v>928.21</v>
      </c>
      <c r="E749" s="18" t="n">
        <v>31</v>
      </c>
    </row>
    <row r="750" customFormat="false" ht="15" hidden="false" customHeight="true" outlineLevel="0" collapsed="false">
      <c r="A750" s="18" t="s">
        <v>206</v>
      </c>
      <c r="B750" s="18" t="s">
        <v>301</v>
      </c>
      <c r="C750" s="18" t="n">
        <v>133</v>
      </c>
      <c r="D750" s="30" t="n">
        <v>1504.38</v>
      </c>
      <c r="E750" s="18" t="n">
        <v>32</v>
      </c>
    </row>
    <row r="751" customFormat="false" ht="15" hidden="false" customHeight="true" outlineLevel="0" collapsed="false">
      <c r="A751" s="18" t="s">
        <v>206</v>
      </c>
      <c r="B751" s="18" t="s">
        <v>302</v>
      </c>
      <c r="C751" s="18" t="n">
        <v>72</v>
      </c>
      <c r="D751" s="30" t="n">
        <v>828.18</v>
      </c>
      <c r="E751" s="18" t="n">
        <v>33</v>
      </c>
    </row>
    <row r="752" customFormat="false" ht="15" hidden="false" customHeight="true" outlineLevel="0" collapsed="false">
      <c r="A752" s="18" t="s">
        <v>206</v>
      </c>
      <c r="B752" s="18" t="s">
        <v>303</v>
      </c>
      <c r="C752" s="18" t="n">
        <v>127</v>
      </c>
      <c r="D752" s="30" t="n">
        <v>1457.17</v>
      </c>
      <c r="E752" s="18" t="n">
        <v>34</v>
      </c>
    </row>
    <row r="753" customFormat="false" ht="15" hidden="false" customHeight="true" outlineLevel="0" collapsed="false">
      <c r="A753" s="18" t="s">
        <v>206</v>
      </c>
      <c r="B753" s="18" t="s">
        <v>304</v>
      </c>
      <c r="C753" s="18" t="n">
        <v>115</v>
      </c>
      <c r="D753" s="30" t="n">
        <v>1311.79</v>
      </c>
      <c r="E753" s="18" t="n">
        <v>35</v>
      </c>
    </row>
    <row r="754" customFormat="false" ht="15" hidden="false" customHeight="true" outlineLevel="0" collapsed="false">
      <c r="A754" s="18" t="s">
        <v>206</v>
      </c>
      <c r="B754" s="18" t="s">
        <v>305</v>
      </c>
      <c r="C754" s="18" t="n">
        <v>154</v>
      </c>
      <c r="D754" s="30" t="n">
        <v>1748.74</v>
      </c>
      <c r="E754" s="18" t="n">
        <v>36</v>
      </c>
    </row>
    <row r="755" customFormat="false" ht="15" hidden="false" customHeight="true" outlineLevel="0" collapsed="false">
      <c r="A755" s="18" t="s">
        <v>206</v>
      </c>
      <c r="B755" s="18" t="s">
        <v>306</v>
      </c>
      <c r="C755" s="18" t="n">
        <v>86</v>
      </c>
      <c r="D755" s="30" t="n">
        <v>964.36</v>
      </c>
      <c r="E755" s="18" t="n">
        <v>37</v>
      </c>
    </row>
    <row r="756" customFormat="false" ht="15" hidden="false" customHeight="true" outlineLevel="0" collapsed="false">
      <c r="A756" s="18" t="s">
        <v>206</v>
      </c>
      <c r="B756" s="18" t="s">
        <v>307</v>
      </c>
      <c r="C756" s="18" t="n">
        <v>130</v>
      </c>
      <c r="D756" s="30" t="n">
        <v>1522.46</v>
      </c>
      <c r="E756" s="18" t="n">
        <v>38</v>
      </c>
    </row>
    <row r="757" customFormat="false" ht="15" hidden="false" customHeight="true" outlineLevel="0" collapsed="false">
      <c r="A757" s="18" t="s">
        <v>206</v>
      </c>
      <c r="B757" s="18" t="s">
        <v>308</v>
      </c>
      <c r="C757" s="18" t="n">
        <v>61</v>
      </c>
      <c r="D757" s="30" t="n">
        <v>688.25</v>
      </c>
      <c r="E757" s="18" t="n">
        <v>39</v>
      </c>
    </row>
    <row r="758" customFormat="false" ht="15" hidden="false" customHeight="true" outlineLevel="0" collapsed="false">
      <c r="A758" s="18" t="s">
        <v>206</v>
      </c>
      <c r="B758" s="18" t="s">
        <v>309</v>
      </c>
      <c r="C758" s="18" t="n">
        <v>99</v>
      </c>
      <c r="D758" s="30" t="n">
        <v>1139.21</v>
      </c>
      <c r="E758" s="18" t="n">
        <v>40</v>
      </c>
    </row>
    <row r="759" customFormat="false" ht="15" hidden="false" customHeight="true" outlineLevel="0" collapsed="false">
      <c r="A759" s="18" t="s">
        <v>206</v>
      </c>
      <c r="B759" s="18" t="s">
        <v>310</v>
      </c>
      <c r="C759" s="18" t="n">
        <v>84</v>
      </c>
      <c r="D759" s="30" t="n">
        <v>952.86</v>
      </c>
      <c r="E759" s="18" t="n">
        <v>41</v>
      </c>
    </row>
    <row r="760" customFormat="false" ht="15" hidden="false" customHeight="true" outlineLevel="0" collapsed="false">
      <c r="A760" s="18" t="s">
        <v>206</v>
      </c>
      <c r="B760" s="18" t="s">
        <v>311</v>
      </c>
      <c r="C760" s="18" t="n">
        <v>75</v>
      </c>
      <c r="D760" s="30" t="n">
        <v>868.3</v>
      </c>
      <c r="E760" s="18" t="n">
        <v>42</v>
      </c>
    </row>
    <row r="761" customFormat="false" ht="15" hidden="false" customHeight="true" outlineLevel="0" collapsed="false">
      <c r="A761" s="18" t="s">
        <v>206</v>
      </c>
      <c r="B761" s="18" t="s">
        <v>312</v>
      </c>
      <c r="C761" s="18" t="n">
        <v>83</v>
      </c>
      <c r="D761" s="30" t="n">
        <v>927.16</v>
      </c>
      <c r="E761" s="18" t="n">
        <v>43</v>
      </c>
    </row>
    <row r="762" customFormat="false" ht="15" hidden="false" customHeight="true" outlineLevel="0" collapsed="false">
      <c r="A762" s="18" t="s">
        <v>206</v>
      </c>
      <c r="B762" s="18" t="s">
        <v>313</v>
      </c>
      <c r="C762" s="18" t="n">
        <v>102</v>
      </c>
      <c r="D762" s="30" t="n">
        <v>1175.68</v>
      </c>
      <c r="E762" s="18" t="n">
        <v>44</v>
      </c>
    </row>
    <row r="763" customFormat="false" ht="15" hidden="false" customHeight="true" outlineLevel="0" collapsed="false">
      <c r="A763" s="18" t="s">
        <v>206</v>
      </c>
      <c r="B763" s="18" t="s">
        <v>314</v>
      </c>
      <c r="C763" s="18" t="n">
        <v>84</v>
      </c>
      <c r="D763" s="30" t="n">
        <v>983.64</v>
      </c>
      <c r="E763" s="18" t="n">
        <v>45</v>
      </c>
    </row>
    <row r="764" customFormat="false" ht="15" hidden="false" customHeight="true" outlineLevel="0" collapsed="false">
      <c r="A764" s="18" t="s">
        <v>206</v>
      </c>
      <c r="B764" s="18" t="s">
        <v>315</v>
      </c>
      <c r="C764" s="18" t="n">
        <v>98</v>
      </c>
      <c r="D764" s="30" t="n">
        <v>1131.25</v>
      </c>
      <c r="E764" s="18" t="n">
        <v>46</v>
      </c>
    </row>
    <row r="765" customFormat="false" ht="15" hidden="false" customHeight="true" outlineLevel="0" collapsed="false">
      <c r="A765" s="18" t="s">
        <v>206</v>
      </c>
      <c r="B765" s="18" t="s">
        <v>316</v>
      </c>
      <c r="C765" s="18" t="n">
        <v>104</v>
      </c>
      <c r="D765" s="30" t="n">
        <v>1188.79</v>
      </c>
      <c r="E765" s="18" t="n">
        <v>47</v>
      </c>
    </row>
    <row r="766" customFormat="false" ht="15" hidden="false" customHeight="true" outlineLevel="0" collapsed="false">
      <c r="A766" s="18" t="s">
        <v>206</v>
      </c>
      <c r="B766" s="18" t="s">
        <v>317</v>
      </c>
      <c r="C766" s="18" t="n">
        <v>125</v>
      </c>
      <c r="D766" s="30" t="n">
        <v>1459.79</v>
      </c>
      <c r="E766" s="18" t="n">
        <v>48</v>
      </c>
    </row>
    <row r="767" customFormat="false" ht="15" hidden="false" customHeight="true" outlineLevel="0" collapsed="false">
      <c r="A767" s="18" t="s">
        <v>206</v>
      </c>
      <c r="B767" s="18" t="s">
        <v>318</v>
      </c>
      <c r="C767" s="18" t="n">
        <v>96</v>
      </c>
      <c r="D767" s="30" t="n">
        <v>1068.81</v>
      </c>
      <c r="E767" s="18" t="n">
        <v>49</v>
      </c>
    </row>
    <row r="768" customFormat="false" ht="15" hidden="false" customHeight="true" outlineLevel="0" collapsed="false">
      <c r="A768" s="18" t="s">
        <v>206</v>
      </c>
      <c r="B768" s="18" t="s">
        <v>319</v>
      </c>
      <c r="C768" s="18" t="n">
        <v>84</v>
      </c>
      <c r="D768" s="30" t="n">
        <v>986.83</v>
      </c>
      <c r="E768" s="18" t="n">
        <v>50</v>
      </c>
    </row>
    <row r="769" customFormat="false" ht="15" hidden="false" customHeight="true" outlineLevel="0" collapsed="false">
      <c r="A769" s="18" t="s">
        <v>206</v>
      </c>
      <c r="B769" s="18" t="s">
        <v>320</v>
      </c>
      <c r="C769" s="18" t="n">
        <v>81</v>
      </c>
      <c r="D769" s="30" t="n">
        <v>909.56</v>
      </c>
      <c r="E769" s="18" t="n">
        <v>51</v>
      </c>
    </row>
    <row r="770" customFormat="false" ht="15" hidden="false" customHeight="true" outlineLevel="0" collapsed="false">
      <c r="A770" s="18" t="s">
        <v>206</v>
      </c>
      <c r="B770" s="18" t="s">
        <v>321</v>
      </c>
      <c r="C770" s="18" t="n">
        <v>117</v>
      </c>
      <c r="D770" s="30" t="n">
        <v>1354.87</v>
      </c>
      <c r="E770" s="18" t="n">
        <v>52</v>
      </c>
    </row>
    <row r="771" customFormat="false" ht="15" hidden="false" customHeight="true" outlineLevel="0" collapsed="false">
      <c r="A771" s="18" t="s">
        <v>208</v>
      </c>
      <c r="B771" s="18" t="s">
        <v>305</v>
      </c>
      <c r="C771" s="18" t="n">
        <v>274</v>
      </c>
      <c r="D771" s="30" t="n">
        <v>4599.65</v>
      </c>
      <c r="E771" s="18" t="n">
        <v>1</v>
      </c>
    </row>
    <row r="772" customFormat="false" ht="15" hidden="false" customHeight="true" outlineLevel="0" collapsed="false">
      <c r="A772" s="18" t="s">
        <v>208</v>
      </c>
      <c r="B772" s="18" t="s">
        <v>306</v>
      </c>
      <c r="C772" s="18" t="n">
        <v>316</v>
      </c>
      <c r="D772" s="30" t="n">
        <v>5224.13</v>
      </c>
      <c r="E772" s="18" t="n">
        <v>2</v>
      </c>
    </row>
    <row r="773" customFormat="false" ht="15" hidden="false" customHeight="true" outlineLevel="0" collapsed="false">
      <c r="A773" s="18" t="s">
        <v>208</v>
      </c>
      <c r="B773" s="18" t="s">
        <v>307</v>
      </c>
      <c r="C773" s="18" t="n">
        <v>263</v>
      </c>
      <c r="D773" s="30" t="n">
        <v>4381.83</v>
      </c>
      <c r="E773" s="18" t="n">
        <v>3</v>
      </c>
    </row>
    <row r="774" customFormat="false" ht="15" hidden="false" customHeight="true" outlineLevel="0" collapsed="false">
      <c r="A774" s="18" t="s">
        <v>208</v>
      </c>
      <c r="B774" s="18" t="s">
        <v>308</v>
      </c>
      <c r="C774" s="18" t="n">
        <v>182</v>
      </c>
      <c r="D774" s="30" t="n">
        <v>2971.02</v>
      </c>
      <c r="E774" s="18" t="n">
        <v>4</v>
      </c>
    </row>
    <row r="775" customFormat="false" ht="15" hidden="false" customHeight="true" outlineLevel="0" collapsed="false">
      <c r="A775" s="18" t="s">
        <v>208</v>
      </c>
      <c r="B775" s="18" t="s">
        <v>309</v>
      </c>
      <c r="C775" s="18" t="n">
        <v>81</v>
      </c>
      <c r="D775" s="30" t="n">
        <v>1373.38</v>
      </c>
      <c r="E775" s="18" t="n">
        <v>5</v>
      </c>
    </row>
    <row r="776" customFormat="false" ht="15" hidden="false" customHeight="true" outlineLevel="0" collapsed="false">
      <c r="A776" s="18" t="s">
        <v>208</v>
      </c>
      <c r="B776" s="18" t="s">
        <v>310</v>
      </c>
      <c r="C776" s="18" t="n">
        <v>135</v>
      </c>
      <c r="D776" s="30" t="n">
        <v>2307.02</v>
      </c>
      <c r="E776" s="18" t="n">
        <v>6</v>
      </c>
    </row>
    <row r="777" customFormat="false" ht="15" hidden="false" customHeight="true" outlineLevel="0" collapsed="false">
      <c r="A777" s="18" t="s">
        <v>208</v>
      </c>
      <c r="B777" s="18" t="s">
        <v>311</v>
      </c>
      <c r="C777" s="18" t="n">
        <v>102</v>
      </c>
      <c r="D777" s="30" t="n">
        <v>1736.4</v>
      </c>
      <c r="E777" s="18" t="n">
        <v>7</v>
      </c>
    </row>
    <row r="778" customFormat="false" ht="15" hidden="false" customHeight="true" outlineLevel="0" collapsed="false">
      <c r="A778" s="18" t="s">
        <v>208</v>
      </c>
      <c r="B778" s="18" t="s">
        <v>312</v>
      </c>
      <c r="C778" s="18" t="n">
        <v>245</v>
      </c>
      <c r="D778" s="30" t="n">
        <v>4112.28</v>
      </c>
      <c r="E778" s="18" t="n">
        <v>8</v>
      </c>
    </row>
    <row r="779" customFormat="false" ht="15" hidden="false" customHeight="true" outlineLevel="0" collapsed="false">
      <c r="A779" s="18" t="s">
        <v>208</v>
      </c>
      <c r="B779" s="18" t="s">
        <v>313</v>
      </c>
      <c r="C779" s="18" t="n">
        <v>121</v>
      </c>
      <c r="D779" s="30" t="n">
        <v>2002.96</v>
      </c>
      <c r="E779" s="18" t="n">
        <v>9</v>
      </c>
    </row>
    <row r="780" customFormat="false" ht="15" hidden="false" customHeight="true" outlineLevel="0" collapsed="false">
      <c r="A780" s="18" t="s">
        <v>208</v>
      </c>
      <c r="B780" s="18" t="s">
        <v>314</v>
      </c>
      <c r="C780" s="18" t="n">
        <v>166</v>
      </c>
      <c r="D780" s="30" t="n">
        <v>2744.18</v>
      </c>
      <c r="E780" s="18" t="n">
        <v>10</v>
      </c>
    </row>
    <row r="781" customFormat="false" ht="15" hidden="false" customHeight="true" outlineLevel="0" collapsed="false">
      <c r="A781" s="18" t="s">
        <v>208</v>
      </c>
      <c r="B781" s="18" t="s">
        <v>315</v>
      </c>
      <c r="C781" s="18" t="n">
        <v>96</v>
      </c>
      <c r="D781" s="30" t="n">
        <v>1605.43</v>
      </c>
      <c r="E781" s="18" t="n">
        <v>11</v>
      </c>
    </row>
    <row r="782" customFormat="false" ht="15" hidden="false" customHeight="true" outlineLevel="0" collapsed="false">
      <c r="A782" s="18" t="s">
        <v>208</v>
      </c>
      <c r="B782" s="18" t="s">
        <v>316</v>
      </c>
      <c r="C782" s="18" t="n">
        <v>156</v>
      </c>
      <c r="D782" s="30" t="n">
        <v>2673.4</v>
      </c>
      <c r="E782" s="18" t="n">
        <v>12</v>
      </c>
    </row>
    <row r="783" customFormat="false" ht="15" hidden="false" customHeight="true" outlineLevel="0" collapsed="false">
      <c r="A783" s="18" t="s">
        <v>208</v>
      </c>
      <c r="B783" s="18" t="s">
        <v>317</v>
      </c>
      <c r="C783" s="18" t="n">
        <v>153</v>
      </c>
      <c r="D783" s="30" t="n">
        <v>2525.84</v>
      </c>
      <c r="E783" s="18" t="n">
        <v>13</v>
      </c>
    </row>
    <row r="784" customFormat="false" ht="15" hidden="false" customHeight="true" outlineLevel="0" collapsed="false">
      <c r="A784" s="18" t="s">
        <v>208</v>
      </c>
      <c r="B784" s="18" t="s">
        <v>318</v>
      </c>
      <c r="C784" s="18" t="n">
        <v>222</v>
      </c>
      <c r="D784" s="30" t="n">
        <v>3623.86</v>
      </c>
      <c r="E784" s="18" t="n">
        <v>14</v>
      </c>
    </row>
    <row r="785" customFormat="false" ht="15" hidden="false" customHeight="true" outlineLevel="0" collapsed="false">
      <c r="A785" s="18" t="s">
        <v>208</v>
      </c>
      <c r="B785" s="18" t="s">
        <v>319</v>
      </c>
      <c r="C785" s="18" t="n">
        <v>230</v>
      </c>
      <c r="D785" s="30" t="n">
        <v>3971.14</v>
      </c>
      <c r="E785" s="18" t="n">
        <v>15</v>
      </c>
    </row>
    <row r="786" customFormat="false" ht="15" hidden="false" customHeight="true" outlineLevel="0" collapsed="false">
      <c r="A786" s="18" t="s">
        <v>208</v>
      </c>
      <c r="B786" s="18" t="s">
        <v>320</v>
      </c>
      <c r="C786" s="18" t="n">
        <v>203</v>
      </c>
      <c r="D786" s="30" t="n">
        <v>3466.28</v>
      </c>
      <c r="E786" s="18" t="n">
        <v>16</v>
      </c>
    </row>
    <row r="787" customFormat="false" ht="15" hidden="false" customHeight="true" outlineLevel="0" collapsed="false">
      <c r="A787" s="18" t="s">
        <v>208</v>
      </c>
      <c r="B787" s="18" t="s">
        <v>321</v>
      </c>
      <c r="C787" s="18" t="n">
        <v>180</v>
      </c>
      <c r="D787" s="30" t="n">
        <v>3099.49</v>
      </c>
      <c r="E787" s="18" t="n">
        <v>17</v>
      </c>
    </row>
    <row r="788" customFormat="false" ht="15" hidden="false" customHeight="true" outlineLevel="0" collapsed="false">
      <c r="A788" s="18" t="s">
        <v>210</v>
      </c>
      <c r="B788" s="18" t="s">
        <v>270</v>
      </c>
      <c r="C788" s="18" t="n">
        <v>290</v>
      </c>
      <c r="D788" s="30" t="n">
        <v>2841.13</v>
      </c>
      <c r="E788" s="18" t="n">
        <v>1</v>
      </c>
    </row>
    <row r="789" customFormat="false" ht="15" hidden="false" customHeight="true" outlineLevel="0" collapsed="false">
      <c r="A789" s="18" t="s">
        <v>210</v>
      </c>
      <c r="B789" s="18" t="s">
        <v>271</v>
      </c>
      <c r="C789" s="18" t="n">
        <v>183</v>
      </c>
      <c r="D789" s="30" t="n">
        <v>1788.27</v>
      </c>
      <c r="E789" s="18" t="n">
        <v>2</v>
      </c>
    </row>
    <row r="790" customFormat="false" ht="15" hidden="false" customHeight="true" outlineLevel="0" collapsed="false">
      <c r="A790" s="18" t="s">
        <v>210</v>
      </c>
      <c r="B790" s="18" t="s">
        <v>272</v>
      </c>
      <c r="C790" s="18" t="n">
        <v>212</v>
      </c>
      <c r="D790" s="30" t="n">
        <v>2092.44</v>
      </c>
      <c r="E790" s="18" t="n">
        <v>3</v>
      </c>
    </row>
    <row r="791" customFormat="false" ht="15" hidden="false" customHeight="true" outlineLevel="0" collapsed="false">
      <c r="A791" s="18" t="s">
        <v>210</v>
      </c>
      <c r="B791" s="18" t="s">
        <v>273</v>
      </c>
      <c r="C791" s="18" t="n">
        <v>164</v>
      </c>
      <c r="D791" s="30" t="n">
        <v>1617.72</v>
      </c>
      <c r="E791" s="18" t="n">
        <v>4</v>
      </c>
    </row>
    <row r="792" customFormat="false" ht="15" hidden="false" customHeight="true" outlineLevel="0" collapsed="false">
      <c r="A792" s="18" t="s">
        <v>210</v>
      </c>
      <c r="B792" s="18" t="s">
        <v>274</v>
      </c>
      <c r="C792" s="18" t="n">
        <v>106</v>
      </c>
      <c r="D792" s="30" t="n">
        <v>1029.68</v>
      </c>
      <c r="E792" s="18" t="n">
        <v>5</v>
      </c>
    </row>
    <row r="793" customFormat="false" ht="15" hidden="false" customHeight="true" outlineLevel="0" collapsed="false">
      <c r="A793" s="18" t="s">
        <v>210</v>
      </c>
      <c r="B793" s="18" t="s">
        <v>275</v>
      </c>
      <c r="C793" s="18" t="n">
        <v>251</v>
      </c>
      <c r="D793" s="30" t="n">
        <v>2414.71</v>
      </c>
      <c r="E793" s="18" t="n">
        <v>6</v>
      </c>
    </row>
    <row r="794" customFormat="false" ht="15" hidden="false" customHeight="true" outlineLevel="0" collapsed="false">
      <c r="A794" s="18" t="s">
        <v>210</v>
      </c>
      <c r="B794" s="18" t="s">
        <v>276</v>
      </c>
      <c r="C794" s="18" t="n">
        <v>212</v>
      </c>
      <c r="D794" s="30" t="n">
        <v>2091.61</v>
      </c>
      <c r="E794" s="18" t="n">
        <v>7</v>
      </c>
    </row>
    <row r="795" customFormat="false" ht="15" hidden="false" customHeight="true" outlineLevel="0" collapsed="false">
      <c r="A795" s="18" t="s">
        <v>210</v>
      </c>
      <c r="B795" s="18" t="s">
        <v>277</v>
      </c>
      <c r="C795" s="18" t="n">
        <v>323</v>
      </c>
      <c r="D795" s="30" t="n">
        <v>3081.47</v>
      </c>
      <c r="E795" s="18" t="n">
        <v>8</v>
      </c>
    </row>
    <row r="796" customFormat="false" ht="15" hidden="false" customHeight="true" outlineLevel="0" collapsed="false">
      <c r="A796" s="18" t="s">
        <v>210</v>
      </c>
      <c r="B796" s="18" t="s">
        <v>278</v>
      </c>
      <c r="C796" s="18" t="n">
        <v>123</v>
      </c>
      <c r="D796" s="30" t="n">
        <v>1194.2</v>
      </c>
      <c r="E796" s="18" t="n">
        <v>9</v>
      </c>
    </row>
    <row r="797" customFormat="false" ht="15" hidden="false" customHeight="true" outlineLevel="0" collapsed="false">
      <c r="A797" s="18" t="s">
        <v>210</v>
      </c>
      <c r="B797" s="18" t="s">
        <v>279</v>
      </c>
      <c r="C797" s="18" t="n">
        <v>184</v>
      </c>
      <c r="D797" s="30" t="n">
        <v>1815.47</v>
      </c>
      <c r="E797" s="18" t="n">
        <v>10</v>
      </c>
    </row>
    <row r="798" customFormat="false" ht="15" hidden="false" customHeight="true" outlineLevel="0" collapsed="false">
      <c r="A798" s="18" t="s">
        <v>210</v>
      </c>
      <c r="B798" s="18" t="s">
        <v>280</v>
      </c>
      <c r="C798" s="18" t="n">
        <v>143</v>
      </c>
      <c r="D798" s="30" t="n">
        <v>1421.41</v>
      </c>
      <c r="E798" s="18" t="n">
        <v>11</v>
      </c>
    </row>
    <row r="799" customFormat="false" ht="15" hidden="false" customHeight="true" outlineLevel="0" collapsed="false">
      <c r="A799" s="18" t="s">
        <v>210</v>
      </c>
      <c r="B799" s="18" t="s">
        <v>281</v>
      </c>
      <c r="C799" s="18" t="n">
        <v>228</v>
      </c>
      <c r="D799" s="30" t="n">
        <v>2265.26</v>
      </c>
      <c r="E799" s="18" t="n">
        <v>12</v>
      </c>
    </row>
    <row r="800" customFormat="false" ht="15" hidden="false" customHeight="true" outlineLevel="0" collapsed="false">
      <c r="A800" s="18" t="s">
        <v>210</v>
      </c>
      <c r="B800" s="18" t="s">
        <v>282</v>
      </c>
      <c r="C800" s="18" t="n">
        <v>175</v>
      </c>
      <c r="D800" s="30" t="n">
        <v>1714.87</v>
      </c>
      <c r="E800" s="18" t="n">
        <v>13</v>
      </c>
    </row>
    <row r="801" customFormat="false" ht="15" hidden="false" customHeight="true" outlineLevel="0" collapsed="false">
      <c r="A801" s="18" t="s">
        <v>210</v>
      </c>
      <c r="B801" s="18" t="s">
        <v>283</v>
      </c>
      <c r="C801" s="18" t="n">
        <v>128</v>
      </c>
      <c r="D801" s="30" t="n">
        <v>1227.35</v>
      </c>
      <c r="E801" s="18" t="n">
        <v>14</v>
      </c>
    </row>
    <row r="802" customFormat="false" ht="15" hidden="false" customHeight="true" outlineLevel="0" collapsed="false">
      <c r="A802" s="18" t="s">
        <v>210</v>
      </c>
      <c r="B802" s="18" t="s">
        <v>284</v>
      </c>
      <c r="C802" s="18" t="n">
        <v>124</v>
      </c>
      <c r="D802" s="30" t="n">
        <v>1241.8</v>
      </c>
      <c r="E802" s="18" t="n">
        <v>15</v>
      </c>
    </row>
    <row r="803" customFormat="false" ht="15" hidden="false" customHeight="true" outlineLevel="0" collapsed="false">
      <c r="A803" s="18" t="s">
        <v>210</v>
      </c>
      <c r="B803" s="18" t="s">
        <v>285</v>
      </c>
      <c r="C803" s="18" t="n">
        <v>165</v>
      </c>
      <c r="D803" s="30" t="n">
        <v>1565.8</v>
      </c>
      <c r="E803" s="18" t="n">
        <v>16</v>
      </c>
    </row>
    <row r="804" customFormat="false" ht="15" hidden="false" customHeight="true" outlineLevel="0" collapsed="false">
      <c r="A804" s="18" t="s">
        <v>210</v>
      </c>
      <c r="B804" s="18" t="s">
        <v>286</v>
      </c>
      <c r="C804" s="18" t="n">
        <v>137</v>
      </c>
      <c r="D804" s="30" t="n">
        <v>1320.19</v>
      </c>
      <c r="E804" s="18" t="n">
        <v>17</v>
      </c>
    </row>
    <row r="805" customFormat="false" ht="15" hidden="false" customHeight="true" outlineLevel="0" collapsed="false">
      <c r="A805" s="18" t="s">
        <v>210</v>
      </c>
      <c r="B805" s="18" t="s">
        <v>287</v>
      </c>
      <c r="C805" s="18" t="n">
        <v>125</v>
      </c>
      <c r="D805" s="30" t="n">
        <v>1214.45</v>
      </c>
      <c r="E805" s="18" t="n">
        <v>18</v>
      </c>
    </row>
    <row r="806" customFormat="false" ht="15" hidden="false" customHeight="true" outlineLevel="0" collapsed="false">
      <c r="A806" s="18" t="s">
        <v>210</v>
      </c>
      <c r="B806" s="18" t="s">
        <v>288</v>
      </c>
      <c r="C806" s="18" t="n">
        <v>166</v>
      </c>
      <c r="D806" s="30" t="n">
        <v>1594.36</v>
      </c>
      <c r="E806" s="18" t="n">
        <v>19</v>
      </c>
    </row>
    <row r="807" customFormat="false" ht="15" hidden="false" customHeight="true" outlineLevel="0" collapsed="false">
      <c r="A807" s="18" t="s">
        <v>210</v>
      </c>
      <c r="B807" s="18" t="s">
        <v>289</v>
      </c>
      <c r="C807" s="18" t="n">
        <v>75</v>
      </c>
      <c r="D807" s="30" t="n">
        <v>744.89</v>
      </c>
      <c r="E807" s="18" t="n">
        <v>20</v>
      </c>
    </row>
    <row r="808" customFormat="false" ht="15" hidden="false" customHeight="true" outlineLevel="0" collapsed="false">
      <c r="A808" s="18" t="s">
        <v>210</v>
      </c>
      <c r="B808" s="18" t="s">
        <v>290</v>
      </c>
      <c r="C808" s="18" t="n">
        <v>170</v>
      </c>
      <c r="D808" s="30" t="n">
        <v>1688.11</v>
      </c>
      <c r="E808" s="18" t="n">
        <v>21</v>
      </c>
    </row>
    <row r="809" customFormat="false" ht="15" hidden="false" customHeight="true" outlineLevel="0" collapsed="false">
      <c r="A809" s="18" t="s">
        <v>210</v>
      </c>
      <c r="B809" s="18" t="s">
        <v>291</v>
      </c>
      <c r="C809" s="18" t="n">
        <v>206</v>
      </c>
      <c r="D809" s="30" t="n">
        <v>2058.86</v>
      </c>
      <c r="E809" s="18" t="n">
        <v>22</v>
      </c>
    </row>
    <row r="810" customFormat="false" ht="15" hidden="false" customHeight="true" outlineLevel="0" collapsed="false">
      <c r="A810" s="18" t="s">
        <v>210</v>
      </c>
      <c r="B810" s="18" t="s">
        <v>292</v>
      </c>
      <c r="C810" s="18" t="n">
        <v>153</v>
      </c>
      <c r="D810" s="30" t="n">
        <v>1454.38</v>
      </c>
      <c r="E810" s="18" t="n">
        <v>23</v>
      </c>
    </row>
    <row r="811" customFormat="false" ht="15" hidden="false" customHeight="true" outlineLevel="0" collapsed="false">
      <c r="A811" s="18" t="s">
        <v>210</v>
      </c>
      <c r="B811" s="18" t="s">
        <v>293</v>
      </c>
      <c r="C811" s="18" t="n">
        <v>182</v>
      </c>
      <c r="D811" s="30" t="n">
        <v>1769.72</v>
      </c>
      <c r="E811" s="18" t="n">
        <v>24</v>
      </c>
    </row>
    <row r="812" customFormat="false" ht="15" hidden="false" customHeight="true" outlineLevel="0" collapsed="false">
      <c r="A812" s="18" t="s">
        <v>210</v>
      </c>
      <c r="B812" s="18" t="s">
        <v>294</v>
      </c>
      <c r="C812" s="18" t="n">
        <v>167</v>
      </c>
      <c r="D812" s="30" t="n">
        <v>1591.05</v>
      </c>
      <c r="E812" s="18" t="n">
        <v>25</v>
      </c>
    </row>
    <row r="813" customFormat="false" ht="15" hidden="false" customHeight="true" outlineLevel="0" collapsed="false">
      <c r="A813" s="18" t="s">
        <v>210</v>
      </c>
      <c r="B813" s="18" t="s">
        <v>295</v>
      </c>
      <c r="C813" s="18" t="n">
        <v>149</v>
      </c>
      <c r="D813" s="30" t="n">
        <v>1410.4</v>
      </c>
      <c r="E813" s="18" t="n">
        <v>26</v>
      </c>
    </row>
    <row r="814" customFormat="false" ht="15" hidden="false" customHeight="true" outlineLevel="0" collapsed="false">
      <c r="A814" s="18" t="s">
        <v>210</v>
      </c>
      <c r="B814" s="18" t="s">
        <v>296</v>
      </c>
      <c r="C814" s="18" t="n">
        <v>216</v>
      </c>
      <c r="D814" s="30" t="n">
        <v>2056.26</v>
      </c>
      <c r="E814" s="18" t="n">
        <v>27</v>
      </c>
    </row>
    <row r="815" customFormat="false" ht="15" hidden="false" customHeight="true" outlineLevel="0" collapsed="false">
      <c r="A815" s="18" t="s">
        <v>210</v>
      </c>
      <c r="B815" s="18" t="s">
        <v>297</v>
      </c>
      <c r="C815" s="18" t="n">
        <v>185</v>
      </c>
      <c r="D815" s="30" t="n">
        <v>1790.8</v>
      </c>
      <c r="E815" s="18" t="n">
        <v>28</v>
      </c>
    </row>
    <row r="816" customFormat="false" ht="15" hidden="false" customHeight="true" outlineLevel="0" collapsed="false">
      <c r="A816" s="18" t="s">
        <v>210</v>
      </c>
      <c r="B816" s="18" t="s">
        <v>298</v>
      </c>
      <c r="C816" s="18" t="n">
        <v>206</v>
      </c>
      <c r="D816" s="30" t="n">
        <v>1977.88</v>
      </c>
      <c r="E816" s="18" t="n">
        <v>29</v>
      </c>
    </row>
    <row r="817" customFormat="false" ht="15" hidden="false" customHeight="true" outlineLevel="0" collapsed="false">
      <c r="A817" s="18" t="s">
        <v>210</v>
      </c>
      <c r="B817" s="18" t="s">
        <v>299</v>
      </c>
      <c r="C817" s="18" t="n">
        <v>237</v>
      </c>
      <c r="D817" s="30" t="n">
        <v>2321.84</v>
      </c>
      <c r="E817" s="18" t="n">
        <v>30</v>
      </c>
    </row>
    <row r="818" customFormat="false" ht="15" hidden="false" customHeight="true" outlineLevel="0" collapsed="false">
      <c r="A818" s="18" t="s">
        <v>210</v>
      </c>
      <c r="B818" s="18" t="s">
        <v>300</v>
      </c>
      <c r="C818" s="18" t="n">
        <v>141</v>
      </c>
      <c r="D818" s="30" t="n">
        <v>1384.39</v>
      </c>
      <c r="E818" s="18" t="n">
        <v>31</v>
      </c>
    </row>
    <row r="819" customFormat="false" ht="15" hidden="false" customHeight="true" outlineLevel="0" collapsed="false">
      <c r="A819" s="18" t="s">
        <v>210</v>
      </c>
      <c r="B819" s="18" t="s">
        <v>301</v>
      </c>
      <c r="C819" s="18" t="n">
        <v>104</v>
      </c>
      <c r="D819" s="30" t="n">
        <v>982.4</v>
      </c>
      <c r="E819" s="18" t="n">
        <v>32</v>
      </c>
    </row>
    <row r="820" customFormat="false" ht="15" hidden="false" customHeight="true" outlineLevel="0" collapsed="false">
      <c r="A820" s="18" t="s">
        <v>210</v>
      </c>
      <c r="B820" s="18" t="s">
        <v>302</v>
      </c>
      <c r="C820" s="18" t="n">
        <v>357</v>
      </c>
      <c r="D820" s="30" t="n">
        <v>3464.55</v>
      </c>
      <c r="E820" s="18" t="n">
        <v>33</v>
      </c>
    </row>
    <row r="821" customFormat="false" ht="15" hidden="false" customHeight="true" outlineLevel="0" collapsed="false">
      <c r="A821" s="18" t="s">
        <v>210</v>
      </c>
      <c r="B821" s="18" t="s">
        <v>303</v>
      </c>
      <c r="C821" s="18" t="n">
        <v>254</v>
      </c>
      <c r="D821" s="30" t="n">
        <v>2517.43</v>
      </c>
      <c r="E821" s="18" t="n">
        <v>34</v>
      </c>
    </row>
    <row r="822" customFormat="false" ht="15" hidden="false" customHeight="true" outlineLevel="0" collapsed="false">
      <c r="A822" s="18" t="s">
        <v>210</v>
      </c>
      <c r="B822" s="18" t="s">
        <v>304</v>
      </c>
      <c r="C822" s="18" t="n">
        <v>241</v>
      </c>
      <c r="D822" s="30" t="n">
        <v>2349.21</v>
      </c>
      <c r="E822" s="18" t="n">
        <v>35</v>
      </c>
    </row>
    <row r="823" customFormat="false" ht="15" hidden="false" customHeight="true" outlineLevel="0" collapsed="false">
      <c r="A823" s="18" t="s">
        <v>210</v>
      </c>
      <c r="B823" s="18" t="s">
        <v>305</v>
      </c>
      <c r="C823" s="18" t="n">
        <v>178</v>
      </c>
      <c r="D823" s="30" t="n">
        <v>1682.25</v>
      </c>
      <c r="E823" s="18" t="n">
        <v>36</v>
      </c>
    </row>
    <row r="824" customFormat="false" ht="15" hidden="false" customHeight="true" outlineLevel="0" collapsed="false">
      <c r="A824" s="18" t="s">
        <v>210</v>
      </c>
      <c r="B824" s="18" t="s">
        <v>306</v>
      </c>
      <c r="C824" s="18" t="n">
        <v>239</v>
      </c>
      <c r="D824" s="30" t="n">
        <v>2303.82</v>
      </c>
      <c r="E824" s="18" t="n">
        <v>37</v>
      </c>
    </row>
    <row r="825" customFormat="false" ht="15" hidden="false" customHeight="true" outlineLevel="0" collapsed="false">
      <c r="A825" s="18" t="s">
        <v>210</v>
      </c>
      <c r="B825" s="18" t="s">
        <v>307</v>
      </c>
      <c r="C825" s="18" t="n">
        <v>164</v>
      </c>
      <c r="D825" s="30" t="n">
        <v>1557.45</v>
      </c>
      <c r="E825" s="18" t="n">
        <v>38</v>
      </c>
    </row>
    <row r="826" customFormat="false" ht="15" hidden="false" customHeight="true" outlineLevel="0" collapsed="false">
      <c r="A826" s="18" t="s">
        <v>210</v>
      </c>
      <c r="B826" s="18" t="s">
        <v>308</v>
      </c>
      <c r="C826" s="18" t="n">
        <v>231</v>
      </c>
      <c r="D826" s="30" t="n">
        <v>2307.29</v>
      </c>
      <c r="E826" s="18" t="n">
        <v>39</v>
      </c>
    </row>
    <row r="827" customFormat="false" ht="15" hidden="false" customHeight="true" outlineLevel="0" collapsed="false">
      <c r="A827" s="18" t="s">
        <v>210</v>
      </c>
      <c r="B827" s="18" t="s">
        <v>309</v>
      </c>
      <c r="C827" s="18" t="n">
        <v>209</v>
      </c>
      <c r="D827" s="30" t="n">
        <v>2045.94</v>
      </c>
      <c r="E827" s="18" t="n">
        <v>40</v>
      </c>
    </row>
    <row r="828" customFormat="false" ht="15" hidden="false" customHeight="true" outlineLevel="0" collapsed="false">
      <c r="A828" s="18" t="s">
        <v>210</v>
      </c>
      <c r="B828" s="18" t="s">
        <v>310</v>
      </c>
      <c r="C828" s="18" t="n">
        <v>190</v>
      </c>
      <c r="D828" s="30" t="n">
        <v>1824.83</v>
      </c>
      <c r="E828" s="18" t="n">
        <v>41</v>
      </c>
    </row>
    <row r="829" customFormat="false" ht="15" hidden="false" customHeight="true" outlineLevel="0" collapsed="false">
      <c r="A829" s="18" t="s">
        <v>210</v>
      </c>
      <c r="B829" s="18" t="s">
        <v>311</v>
      </c>
      <c r="C829" s="18" t="n">
        <v>191</v>
      </c>
      <c r="D829" s="30" t="n">
        <v>1873.19</v>
      </c>
      <c r="E829" s="18" t="n">
        <v>42</v>
      </c>
    </row>
    <row r="830" customFormat="false" ht="15" hidden="false" customHeight="true" outlineLevel="0" collapsed="false">
      <c r="A830" s="18" t="s">
        <v>210</v>
      </c>
      <c r="B830" s="18" t="s">
        <v>312</v>
      </c>
      <c r="C830" s="18" t="n">
        <v>140</v>
      </c>
      <c r="D830" s="30" t="n">
        <v>1401.51</v>
      </c>
      <c r="E830" s="18" t="n">
        <v>43</v>
      </c>
    </row>
    <row r="831" customFormat="false" ht="15" hidden="false" customHeight="true" outlineLevel="0" collapsed="false">
      <c r="A831" s="18" t="s">
        <v>210</v>
      </c>
      <c r="B831" s="18" t="s">
        <v>313</v>
      </c>
      <c r="C831" s="18" t="n">
        <v>137</v>
      </c>
      <c r="D831" s="30" t="n">
        <v>1328.61</v>
      </c>
      <c r="E831" s="18" t="n">
        <v>44</v>
      </c>
    </row>
    <row r="832" customFormat="false" ht="15" hidden="false" customHeight="true" outlineLevel="0" collapsed="false">
      <c r="A832" s="18" t="s">
        <v>210</v>
      </c>
      <c r="B832" s="18" t="s">
        <v>314</v>
      </c>
      <c r="C832" s="18" t="n">
        <v>174</v>
      </c>
      <c r="D832" s="30" t="n">
        <v>1657.14</v>
      </c>
      <c r="E832" s="18" t="n">
        <v>45</v>
      </c>
    </row>
    <row r="833" customFormat="false" ht="15" hidden="false" customHeight="true" outlineLevel="0" collapsed="false">
      <c r="A833" s="18" t="s">
        <v>210</v>
      </c>
      <c r="B833" s="18" t="s">
        <v>315</v>
      </c>
      <c r="C833" s="18" t="n">
        <v>87</v>
      </c>
      <c r="D833" s="30" t="n">
        <v>871.28</v>
      </c>
      <c r="E833" s="18" t="n">
        <v>46</v>
      </c>
    </row>
    <row r="834" customFormat="false" ht="15" hidden="false" customHeight="true" outlineLevel="0" collapsed="false">
      <c r="A834" s="18" t="s">
        <v>210</v>
      </c>
      <c r="B834" s="18" t="s">
        <v>316</v>
      </c>
      <c r="C834" s="18" t="n">
        <v>146</v>
      </c>
      <c r="D834" s="30" t="n">
        <v>1416.53</v>
      </c>
      <c r="E834" s="18" t="n">
        <v>47</v>
      </c>
    </row>
    <row r="835" customFormat="false" ht="15" hidden="false" customHeight="true" outlineLevel="0" collapsed="false">
      <c r="A835" s="18" t="s">
        <v>210</v>
      </c>
      <c r="B835" s="18" t="s">
        <v>317</v>
      </c>
      <c r="C835" s="18" t="n">
        <v>207</v>
      </c>
      <c r="D835" s="30" t="n">
        <v>1992.83</v>
      </c>
      <c r="E835" s="18" t="n">
        <v>48</v>
      </c>
    </row>
    <row r="836" customFormat="false" ht="15" hidden="false" customHeight="true" outlineLevel="0" collapsed="false">
      <c r="A836" s="18" t="s">
        <v>210</v>
      </c>
      <c r="B836" s="18" t="s">
        <v>318</v>
      </c>
      <c r="C836" s="18" t="n">
        <v>97</v>
      </c>
      <c r="D836" s="30" t="n">
        <v>970.88</v>
      </c>
      <c r="E836" s="18" t="n">
        <v>49</v>
      </c>
    </row>
    <row r="837" customFormat="false" ht="15" hidden="false" customHeight="true" outlineLevel="0" collapsed="false">
      <c r="A837" s="18" t="s">
        <v>210</v>
      </c>
      <c r="B837" s="18" t="s">
        <v>319</v>
      </c>
      <c r="C837" s="18" t="n">
        <v>196</v>
      </c>
      <c r="D837" s="30" t="n">
        <v>1864.85</v>
      </c>
      <c r="E837" s="18" t="n">
        <v>50</v>
      </c>
    </row>
    <row r="838" customFormat="false" ht="15" hidden="false" customHeight="true" outlineLevel="0" collapsed="false">
      <c r="A838" s="18" t="s">
        <v>210</v>
      </c>
      <c r="B838" s="18" t="s">
        <v>320</v>
      </c>
      <c r="C838" s="18" t="n">
        <v>179</v>
      </c>
      <c r="D838" s="30" t="n">
        <v>1742.09</v>
      </c>
      <c r="E838" s="18" t="n">
        <v>51</v>
      </c>
    </row>
    <row r="839" customFormat="false" ht="15" hidden="false" customHeight="true" outlineLevel="0" collapsed="false">
      <c r="A839" s="18" t="s">
        <v>210</v>
      </c>
      <c r="B839" s="18" t="s">
        <v>321</v>
      </c>
      <c r="C839" s="18" t="n">
        <v>145</v>
      </c>
      <c r="D839" s="30" t="n">
        <v>1404.39</v>
      </c>
      <c r="E839" s="18" t="n">
        <v>52</v>
      </c>
    </row>
    <row r="840" customFormat="false" ht="15" hidden="false" customHeight="true" outlineLevel="0" collapsed="false">
      <c r="A840" s="18" t="s">
        <v>213</v>
      </c>
      <c r="B840" s="18" t="s">
        <v>270</v>
      </c>
      <c r="C840" s="18" t="n">
        <v>201</v>
      </c>
      <c r="D840" s="30" t="n">
        <v>1850.08</v>
      </c>
      <c r="E840" s="18" t="n">
        <v>1</v>
      </c>
    </row>
    <row r="841" customFormat="false" ht="15" hidden="false" customHeight="true" outlineLevel="0" collapsed="false">
      <c r="A841" s="18" t="s">
        <v>213</v>
      </c>
      <c r="B841" s="18" t="s">
        <v>271</v>
      </c>
      <c r="C841" s="18" t="n">
        <v>118</v>
      </c>
      <c r="D841" s="30" t="n">
        <v>1049.11</v>
      </c>
      <c r="E841" s="18" t="n">
        <v>2</v>
      </c>
    </row>
    <row r="842" customFormat="false" ht="15" hidden="false" customHeight="true" outlineLevel="0" collapsed="false">
      <c r="A842" s="18" t="s">
        <v>213</v>
      </c>
      <c r="B842" s="18" t="s">
        <v>272</v>
      </c>
      <c r="C842" s="18" t="n">
        <v>48</v>
      </c>
      <c r="D842" s="30" t="n">
        <v>429.62</v>
      </c>
      <c r="E842" s="18" t="n">
        <v>3</v>
      </c>
    </row>
    <row r="843" customFormat="false" ht="15" hidden="false" customHeight="true" outlineLevel="0" collapsed="false">
      <c r="A843" s="18" t="s">
        <v>213</v>
      </c>
      <c r="B843" s="18" t="s">
        <v>273</v>
      </c>
      <c r="C843" s="18" t="n">
        <v>192</v>
      </c>
      <c r="D843" s="30" t="n">
        <v>1779.38</v>
      </c>
      <c r="E843" s="18" t="n">
        <v>4</v>
      </c>
    </row>
    <row r="844" customFormat="false" ht="15" hidden="false" customHeight="true" outlineLevel="0" collapsed="false">
      <c r="A844" s="18" t="s">
        <v>213</v>
      </c>
      <c r="B844" s="18" t="s">
        <v>274</v>
      </c>
      <c r="C844" s="18" t="n">
        <v>195</v>
      </c>
      <c r="D844" s="30" t="n">
        <v>1736.01</v>
      </c>
      <c r="E844" s="18" t="n">
        <v>5</v>
      </c>
    </row>
    <row r="845" customFormat="false" ht="15" hidden="false" customHeight="true" outlineLevel="0" collapsed="false">
      <c r="A845" s="18" t="s">
        <v>213</v>
      </c>
      <c r="B845" s="18" t="s">
        <v>275</v>
      </c>
      <c r="C845" s="18" t="n">
        <v>205</v>
      </c>
      <c r="D845" s="30" t="n">
        <v>1835.06</v>
      </c>
      <c r="E845" s="18" t="n">
        <v>6</v>
      </c>
    </row>
    <row r="846" customFormat="false" ht="15" hidden="false" customHeight="true" outlineLevel="0" collapsed="false">
      <c r="A846" s="18" t="s">
        <v>213</v>
      </c>
      <c r="B846" s="18" t="s">
        <v>276</v>
      </c>
      <c r="C846" s="18" t="n">
        <v>287</v>
      </c>
      <c r="D846" s="30" t="n">
        <v>2613.8</v>
      </c>
      <c r="E846" s="18" t="n">
        <v>7</v>
      </c>
    </row>
    <row r="847" customFormat="false" ht="15" hidden="false" customHeight="true" outlineLevel="0" collapsed="false">
      <c r="A847" s="18" t="s">
        <v>213</v>
      </c>
      <c r="B847" s="18" t="s">
        <v>277</v>
      </c>
      <c r="C847" s="18" t="n">
        <v>308</v>
      </c>
      <c r="D847" s="30" t="n">
        <v>2804.19</v>
      </c>
      <c r="E847" s="18" t="n">
        <v>8</v>
      </c>
    </row>
    <row r="848" customFormat="false" ht="15" hidden="false" customHeight="true" outlineLevel="0" collapsed="false">
      <c r="A848" s="18" t="s">
        <v>213</v>
      </c>
      <c r="B848" s="18" t="s">
        <v>278</v>
      </c>
      <c r="C848" s="18" t="n">
        <v>258</v>
      </c>
      <c r="D848" s="30" t="n">
        <v>2304.39</v>
      </c>
      <c r="E848" s="18" t="n">
        <v>9</v>
      </c>
    </row>
    <row r="849" customFormat="false" ht="15" hidden="false" customHeight="true" outlineLevel="0" collapsed="false">
      <c r="A849" s="18" t="s">
        <v>213</v>
      </c>
      <c r="B849" s="18" t="s">
        <v>279</v>
      </c>
      <c r="C849" s="18" t="n">
        <v>283</v>
      </c>
      <c r="D849" s="30" t="n">
        <v>2582.99</v>
      </c>
      <c r="E849" s="18" t="n">
        <v>10</v>
      </c>
    </row>
    <row r="850" customFormat="false" ht="15" hidden="false" customHeight="true" outlineLevel="0" collapsed="false">
      <c r="A850" s="18" t="s">
        <v>213</v>
      </c>
      <c r="B850" s="18" t="s">
        <v>280</v>
      </c>
      <c r="C850" s="18" t="n">
        <v>180</v>
      </c>
      <c r="D850" s="30" t="n">
        <v>1608.3</v>
      </c>
      <c r="E850" s="18" t="n">
        <v>11</v>
      </c>
    </row>
    <row r="851" customFormat="false" ht="15" hidden="false" customHeight="true" outlineLevel="0" collapsed="false">
      <c r="A851" s="18" t="s">
        <v>213</v>
      </c>
      <c r="B851" s="18" t="s">
        <v>281</v>
      </c>
      <c r="C851" s="18" t="n">
        <v>162</v>
      </c>
      <c r="D851" s="30" t="n">
        <v>1465.92</v>
      </c>
      <c r="E851" s="18" t="n">
        <v>12</v>
      </c>
    </row>
    <row r="852" customFormat="false" ht="15" hidden="false" customHeight="true" outlineLevel="0" collapsed="false">
      <c r="A852" s="18" t="s">
        <v>213</v>
      </c>
      <c r="B852" s="18" t="s">
        <v>282</v>
      </c>
      <c r="C852" s="18" t="n">
        <v>261</v>
      </c>
      <c r="D852" s="30" t="n">
        <v>2408.06</v>
      </c>
      <c r="E852" s="18" t="n">
        <v>13</v>
      </c>
    </row>
    <row r="853" customFormat="false" ht="15" hidden="false" customHeight="true" outlineLevel="0" collapsed="false">
      <c r="A853" s="18" t="s">
        <v>213</v>
      </c>
      <c r="B853" s="18" t="s">
        <v>283</v>
      </c>
      <c r="C853" s="18" t="n">
        <v>148</v>
      </c>
      <c r="D853" s="30" t="n">
        <v>1296.59</v>
      </c>
      <c r="E853" s="18" t="n">
        <v>14</v>
      </c>
    </row>
    <row r="854" customFormat="false" ht="15" hidden="false" customHeight="true" outlineLevel="0" collapsed="false">
      <c r="A854" s="18" t="s">
        <v>213</v>
      </c>
      <c r="B854" s="18" t="s">
        <v>284</v>
      </c>
      <c r="C854" s="18" t="n">
        <v>139</v>
      </c>
      <c r="D854" s="30" t="n">
        <v>1224.13</v>
      </c>
      <c r="E854" s="18" t="n">
        <v>15</v>
      </c>
    </row>
    <row r="855" customFormat="false" ht="15" hidden="false" customHeight="true" outlineLevel="0" collapsed="false">
      <c r="A855" s="18" t="s">
        <v>213</v>
      </c>
      <c r="B855" s="18" t="s">
        <v>285</v>
      </c>
      <c r="C855" s="18" t="n">
        <v>400</v>
      </c>
      <c r="D855" s="30" t="n">
        <v>3657.44</v>
      </c>
      <c r="E855" s="18" t="n">
        <v>16</v>
      </c>
    </row>
    <row r="856" customFormat="false" ht="15" hidden="false" customHeight="true" outlineLevel="0" collapsed="false">
      <c r="A856" s="18" t="s">
        <v>213</v>
      </c>
      <c r="B856" s="18" t="s">
        <v>286</v>
      </c>
      <c r="C856" s="18" t="n">
        <v>215</v>
      </c>
      <c r="D856" s="30" t="n">
        <v>1972.83</v>
      </c>
      <c r="E856" s="18" t="n">
        <v>17</v>
      </c>
    </row>
    <row r="857" customFormat="false" ht="15" hidden="false" customHeight="true" outlineLevel="0" collapsed="false">
      <c r="A857" s="18" t="s">
        <v>213</v>
      </c>
      <c r="B857" s="18" t="s">
        <v>287</v>
      </c>
      <c r="C857" s="18" t="n">
        <v>179</v>
      </c>
      <c r="D857" s="30" t="n">
        <v>1623.1</v>
      </c>
      <c r="E857" s="18" t="n">
        <v>18</v>
      </c>
    </row>
    <row r="858" customFormat="false" ht="15" hidden="false" customHeight="true" outlineLevel="0" collapsed="false">
      <c r="A858" s="18" t="s">
        <v>213</v>
      </c>
      <c r="B858" s="18" t="s">
        <v>288</v>
      </c>
      <c r="C858" s="18" t="n">
        <v>171</v>
      </c>
      <c r="D858" s="30" t="n">
        <v>1560.45</v>
      </c>
      <c r="E858" s="18" t="n">
        <v>19</v>
      </c>
    </row>
    <row r="859" customFormat="false" ht="15" hidden="false" customHeight="true" outlineLevel="0" collapsed="false">
      <c r="A859" s="18" t="s">
        <v>213</v>
      </c>
      <c r="B859" s="18" t="s">
        <v>289</v>
      </c>
      <c r="C859" s="18" t="n">
        <v>118</v>
      </c>
      <c r="D859" s="30" t="n">
        <v>1053.07</v>
      </c>
      <c r="E859" s="18" t="n">
        <v>20</v>
      </c>
    </row>
    <row r="860" customFormat="false" ht="15" hidden="false" customHeight="true" outlineLevel="0" collapsed="false">
      <c r="A860" s="18" t="s">
        <v>213</v>
      </c>
      <c r="B860" s="18" t="s">
        <v>290</v>
      </c>
      <c r="C860" s="18" t="n">
        <v>226</v>
      </c>
      <c r="D860" s="30" t="n">
        <v>2038.6</v>
      </c>
      <c r="E860" s="18" t="n">
        <v>21</v>
      </c>
    </row>
    <row r="861" customFormat="false" ht="15" hidden="false" customHeight="true" outlineLevel="0" collapsed="false">
      <c r="A861" s="18" t="s">
        <v>213</v>
      </c>
      <c r="B861" s="18" t="s">
        <v>291</v>
      </c>
      <c r="C861" s="18" t="n">
        <v>192</v>
      </c>
      <c r="D861" s="30" t="n">
        <v>1696.49</v>
      </c>
      <c r="E861" s="18" t="n">
        <v>22</v>
      </c>
    </row>
    <row r="862" customFormat="false" ht="15" hidden="false" customHeight="true" outlineLevel="0" collapsed="false">
      <c r="A862" s="18" t="s">
        <v>213</v>
      </c>
      <c r="B862" s="18" t="s">
        <v>292</v>
      </c>
      <c r="C862" s="18" t="n">
        <v>278</v>
      </c>
      <c r="D862" s="30" t="n">
        <v>2431.76</v>
      </c>
      <c r="E862" s="18" t="n">
        <v>23</v>
      </c>
    </row>
    <row r="863" customFormat="false" ht="15" hidden="false" customHeight="true" outlineLevel="0" collapsed="false">
      <c r="A863" s="18" t="s">
        <v>213</v>
      </c>
      <c r="B863" s="18" t="s">
        <v>293</v>
      </c>
      <c r="C863" s="18" t="n">
        <v>256</v>
      </c>
      <c r="D863" s="30" t="n">
        <v>2273.98</v>
      </c>
      <c r="E863" s="18" t="n">
        <v>24</v>
      </c>
    </row>
    <row r="864" customFormat="false" ht="15" hidden="false" customHeight="true" outlineLevel="0" collapsed="false">
      <c r="A864" s="18" t="s">
        <v>213</v>
      </c>
      <c r="B864" s="18" t="s">
        <v>294</v>
      </c>
      <c r="C864" s="18" t="n">
        <v>204</v>
      </c>
      <c r="D864" s="30" t="n">
        <v>1794.84</v>
      </c>
      <c r="E864" s="18" t="n">
        <v>25</v>
      </c>
    </row>
    <row r="865" customFormat="false" ht="15" hidden="false" customHeight="true" outlineLevel="0" collapsed="false">
      <c r="A865" s="18" t="s">
        <v>213</v>
      </c>
      <c r="B865" s="18" t="s">
        <v>295</v>
      </c>
      <c r="C865" s="18" t="n">
        <v>95</v>
      </c>
      <c r="D865" s="30" t="n">
        <v>844.34</v>
      </c>
      <c r="E865" s="18" t="n">
        <v>26</v>
      </c>
    </row>
    <row r="866" customFormat="false" ht="15" hidden="false" customHeight="true" outlineLevel="0" collapsed="false">
      <c r="A866" s="18" t="s">
        <v>213</v>
      </c>
      <c r="B866" s="18" t="s">
        <v>296</v>
      </c>
      <c r="C866" s="18" t="n">
        <v>245</v>
      </c>
      <c r="D866" s="30" t="n">
        <v>2166.78</v>
      </c>
      <c r="E866" s="18" t="n">
        <v>27</v>
      </c>
    </row>
    <row r="867" customFormat="false" ht="15" hidden="false" customHeight="true" outlineLevel="0" collapsed="false">
      <c r="A867" s="18" t="s">
        <v>213</v>
      </c>
      <c r="B867" s="18" t="s">
        <v>297</v>
      </c>
      <c r="C867" s="18" t="n">
        <v>246</v>
      </c>
      <c r="D867" s="30" t="n">
        <v>2201.19</v>
      </c>
      <c r="E867" s="18" t="n">
        <v>28</v>
      </c>
    </row>
    <row r="868" customFormat="false" ht="15" hidden="false" customHeight="true" outlineLevel="0" collapsed="false">
      <c r="A868" s="18" t="s">
        <v>213</v>
      </c>
      <c r="B868" s="18" t="s">
        <v>298</v>
      </c>
      <c r="C868" s="18" t="n">
        <v>90</v>
      </c>
      <c r="D868" s="30" t="n">
        <v>802.53</v>
      </c>
      <c r="E868" s="18" t="n">
        <v>29</v>
      </c>
    </row>
    <row r="869" customFormat="false" ht="15" hidden="false" customHeight="true" outlineLevel="0" collapsed="false">
      <c r="A869" s="18" t="s">
        <v>213</v>
      </c>
      <c r="B869" s="18" t="s">
        <v>299</v>
      </c>
      <c r="C869" s="18" t="n">
        <v>293</v>
      </c>
      <c r="D869" s="30" t="n">
        <v>2564.72</v>
      </c>
      <c r="E869" s="18" t="n">
        <v>30</v>
      </c>
    </row>
    <row r="870" customFormat="false" ht="15" hidden="false" customHeight="true" outlineLevel="0" collapsed="false">
      <c r="A870" s="18" t="s">
        <v>213</v>
      </c>
      <c r="B870" s="18" t="s">
        <v>300</v>
      </c>
      <c r="C870" s="18" t="n">
        <v>175</v>
      </c>
      <c r="D870" s="30" t="n">
        <v>1601.03</v>
      </c>
      <c r="E870" s="18" t="n">
        <v>31</v>
      </c>
    </row>
    <row r="871" customFormat="false" ht="15" hidden="false" customHeight="true" outlineLevel="0" collapsed="false">
      <c r="A871" s="18" t="s">
        <v>213</v>
      </c>
      <c r="B871" s="18" t="s">
        <v>301</v>
      </c>
      <c r="C871" s="18" t="n">
        <v>354</v>
      </c>
      <c r="D871" s="30" t="n">
        <v>3271.55</v>
      </c>
      <c r="E871" s="18" t="n">
        <v>32</v>
      </c>
    </row>
    <row r="872" customFormat="false" ht="15" hidden="false" customHeight="true" outlineLevel="0" collapsed="false">
      <c r="A872" s="18" t="s">
        <v>213</v>
      </c>
      <c r="B872" s="18" t="s">
        <v>302</v>
      </c>
      <c r="C872" s="18" t="n">
        <v>266</v>
      </c>
      <c r="D872" s="30" t="n">
        <v>2401.24</v>
      </c>
      <c r="E872" s="18" t="n">
        <v>33</v>
      </c>
    </row>
    <row r="873" customFormat="false" ht="15" hidden="false" customHeight="true" outlineLevel="0" collapsed="false">
      <c r="A873" s="18" t="s">
        <v>213</v>
      </c>
      <c r="B873" s="18" t="s">
        <v>303</v>
      </c>
      <c r="C873" s="18" t="n">
        <v>224</v>
      </c>
      <c r="D873" s="30" t="n">
        <v>2051.41</v>
      </c>
      <c r="E873" s="18" t="n">
        <v>34</v>
      </c>
    </row>
    <row r="874" customFormat="false" ht="15" hidden="false" customHeight="true" outlineLevel="0" collapsed="false">
      <c r="A874" s="18" t="s">
        <v>213</v>
      </c>
      <c r="B874" s="18" t="s">
        <v>304</v>
      </c>
      <c r="C874" s="18" t="n">
        <v>292</v>
      </c>
      <c r="D874" s="30" t="n">
        <v>2685.27</v>
      </c>
      <c r="E874" s="18" t="n">
        <v>35</v>
      </c>
    </row>
    <row r="875" customFormat="false" ht="15" hidden="false" customHeight="true" outlineLevel="0" collapsed="false">
      <c r="A875" s="18" t="s">
        <v>213</v>
      </c>
      <c r="B875" s="18" t="s">
        <v>305</v>
      </c>
      <c r="C875" s="18" t="n">
        <v>285</v>
      </c>
      <c r="D875" s="30" t="n">
        <v>2557.74</v>
      </c>
      <c r="E875" s="18" t="n">
        <v>36</v>
      </c>
    </row>
    <row r="876" customFormat="false" ht="15" hidden="false" customHeight="true" outlineLevel="0" collapsed="false">
      <c r="A876" s="18" t="s">
        <v>213</v>
      </c>
      <c r="B876" s="18" t="s">
        <v>306</v>
      </c>
      <c r="C876" s="18" t="n">
        <v>279</v>
      </c>
      <c r="D876" s="30" t="n">
        <v>2560</v>
      </c>
      <c r="E876" s="18" t="n">
        <v>37</v>
      </c>
    </row>
    <row r="877" customFormat="false" ht="15" hidden="false" customHeight="true" outlineLevel="0" collapsed="false">
      <c r="A877" s="18" t="s">
        <v>213</v>
      </c>
      <c r="B877" s="18" t="s">
        <v>307</v>
      </c>
      <c r="C877" s="18" t="n">
        <v>338</v>
      </c>
      <c r="D877" s="30" t="n">
        <v>3123.81</v>
      </c>
      <c r="E877" s="18" t="n">
        <v>38</v>
      </c>
    </row>
    <row r="878" customFormat="false" ht="15" hidden="false" customHeight="true" outlineLevel="0" collapsed="false">
      <c r="A878" s="18" t="s">
        <v>213</v>
      </c>
      <c r="B878" s="18" t="s">
        <v>308</v>
      </c>
      <c r="C878" s="18" t="n">
        <v>121</v>
      </c>
      <c r="D878" s="30" t="n">
        <v>1122.54</v>
      </c>
      <c r="E878" s="18" t="n">
        <v>39</v>
      </c>
    </row>
    <row r="879" customFormat="false" ht="15" hidden="false" customHeight="true" outlineLevel="0" collapsed="false">
      <c r="A879" s="18" t="s">
        <v>213</v>
      </c>
      <c r="B879" s="18" t="s">
        <v>309</v>
      </c>
      <c r="C879" s="18" t="n">
        <v>278</v>
      </c>
      <c r="D879" s="30" t="n">
        <v>2443.65</v>
      </c>
      <c r="E879" s="18" t="n">
        <v>40</v>
      </c>
    </row>
    <row r="880" customFormat="false" ht="15" hidden="false" customHeight="true" outlineLevel="0" collapsed="false">
      <c r="A880" s="18" t="s">
        <v>213</v>
      </c>
      <c r="B880" s="18" t="s">
        <v>310</v>
      </c>
      <c r="C880" s="18" t="n">
        <v>199</v>
      </c>
      <c r="D880" s="30" t="n">
        <v>1742.88</v>
      </c>
      <c r="E880" s="18" t="n">
        <v>41</v>
      </c>
    </row>
    <row r="881" customFormat="false" ht="15" hidden="false" customHeight="true" outlineLevel="0" collapsed="false">
      <c r="A881" s="18" t="s">
        <v>213</v>
      </c>
      <c r="B881" s="18" t="s">
        <v>311</v>
      </c>
      <c r="C881" s="18" t="n">
        <v>228</v>
      </c>
      <c r="D881" s="30" t="n">
        <v>2091.16</v>
      </c>
      <c r="E881" s="18" t="n">
        <v>42</v>
      </c>
    </row>
    <row r="882" customFormat="false" ht="15" hidden="false" customHeight="true" outlineLevel="0" collapsed="false">
      <c r="A882" s="18" t="s">
        <v>213</v>
      </c>
      <c r="B882" s="18" t="s">
        <v>312</v>
      </c>
      <c r="C882" s="18" t="n">
        <v>348</v>
      </c>
      <c r="D882" s="30" t="n">
        <v>3202.62</v>
      </c>
      <c r="E882" s="18" t="n">
        <v>43</v>
      </c>
    </row>
    <row r="883" customFormat="false" ht="15" hidden="false" customHeight="true" outlineLevel="0" collapsed="false">
      <c r="A883" s="18" t="s">
        <v>213</v>
      </c>
      <c r="B883" s="18" t="s">
        <v>313</v>
      </c>
      <c r="C883" s="18" t="n">
        <v>184</v>
      </c>
      <c r="D883" s="30" t="n">
        <v>1635.55</v>
      </c>
      <c r="E883" s="18" t="n">
        <v>44</v>
      </c>
    </row>
    <row r="884" customFormat="false" ht="15" hidden="false" customHeight="true" outlineLevel="0" collapsed="false">
      <c r="A884" s="18" t="s">
        <v>213</v>
      </c>
      <c r="B884" s="18" t="s">
        <v>314</v>
      </c>
      <c r="C884" s="18" t="n">
        <v>268</v>
      </c>
      <c r="D884" s="30" t="n">
        <v>2348.39</v>
      </c>
      <c r="E884" s="18" t="n">
        <v>45</v>
      </c>
    </row>
    <row r="885" customFormat="false" ht="15" hidden="false" customHeight="true" outlineLevel="0" collapsed="false">
      <c r="A885" s="18" t="s">
        <v>213</v>
      </c>
      <c r="B885" s="18" t="s">
        <v>315</v>
      </c>
      <c r="C885" s="18" t="n">
        <v>305</v>
      </c>
      <c r="D885" s="30" t="n">
        <v>2709.34</v>
      </c>
      <c r="E885" s="18" t="n">
        <v>46</v>
      </c>
    </row>
    <row r="886" customFormat="false" ht="15" hidden="false" customHeight="true" outlineLevel="0" collapsed="false">
      <c r="A886" s="18" t="s">
        <v>213</v>
      </c>
      <c r="B886" s="18" t="s">
        <v>316</v>
      </c>
      <c r="C886" s="18" t="n">
        <v>276</v>
      </c>
      <c r="D886" s="30" t="n">
        <v>2475.58</v>
      </c>
      <c r="E886" s="18" t="n">
        <v>47</v>
      </c>
    </row>
    <row r="887" customFormat="false" ht="15" hidden="false" customHeight="true" outlineLevel="0" collapsed="false">
      <c r="A887" s="18" t="s">
        <v>213</v>
      </c>
      <c r="B887" s="18" t="s">
        <v>317</v>
      </c>
      <c r="C887" s="18" t="n">
        <v>248</v>
      </c>
      <c r="D887" s="30" t="n">
        <v>2203.69</v>
      </c>
      <c r="E887" s="18" t="n">
        <v>48</v>
      </c>
    </row>
    <row r="888" customFormat="false" ht="15" hidden="false" customHeight="true" outlineLevel="0" collapsed="false">
      <c r="A888" s="18" t="s">
        <v>213</v>
      </c>
      <c r="B888" s="18" t="s">
        <v>318</v>
      </c>
      <c r="C888" s="18" t="n">
        <v>264</v>
      </c>
      <c r="D888" s="30" t="n">
        <v>2368.07</v>
      </c>
      <c r="E888" s="18" t="n">
        <v>49</v>
      </c>
    </row>
    <row r="889" customFormat="false" ht="15" hidden="false" customHeight="true" outlineLevel="0" collapsed="false">
      <c r="A889" s="18" t="s">
        <v>213</v>
      </c>
      <c r="B889" s="18" t="s">
        <v>319</v>
      </c>
      <c r="C889" s="18" t="n">
        <v>296</v>
      </c>
      <c r="D889" s="30" t="n">
        <v>2667.36</v>
      </c>
      <c r="E889" s="18" t="n">
        <v>50</v>
      </c>
    </row>
    <row r="890" customFormat="false" ht="15" hidden="false" customHeight="true" outlineLevel="0" collapsed="false">
      <c r="A890" s="18" t="s">
        <v>213</v>
      </c>
      <c r="B890" s="18" t="s">
        <v>320</v>
      </c>
      <c r="C890" s="18" t="n">
        <v>197</v>
      </c>
      <c r="D890" s="30" t="n">
        <v>1749.13</v>
      </c>
      <c r="E890" s="18" t="n">
        <v>51</v>
      </c>
    </row>
    <row r="891" customFormat="false" ht="15" hidden="false" customHeight="true" outlineLevel="0" collapsed="false">
      <c r="A891" s="18" t="s">
        <v>213</v>
      </c>
      <c r="B891" s="18" t="s">
        <v>321</v>
      </c>
      <c r="C891" s="18" t="n">
        <v>266</v>
      </c>
      <c r="D891" s="30" t="n">
        <v>2346.59</v>
      </c>
      <c r="E891" s="18" t="n">
        <v>52</v>
      </c>
    </row>
    <row r="892" customFormat="false" ht="15" hidden="false" customHeight="true" outlineLevel="0" collapsed="false">
      <c r="A892" s="18" t="s">
        <v>215</v>
      </c>
      <c r="B892" s="18" t="s">
        <v>270</v>
      </c>
      <c r="C892" s="18" t="n">
        <v>90</v>
      </c>
      <c r="D892" s="30" t="n">
        <v>421.04</v>
      </c>
      <c r="E892" s="18" t="n">
        <v>1</v>
      </c>
    </row>
    <row r="893" customFormat="false" ht="15" hidden="false" customHeight="true" outlineLevel="0" collapsed="false">
      <c r="A893" s="18" t="s">
        <v>215</v>
      </c>
      <c r="B893" s="18" t="s">
        <v>271</v>
      </c>
      <c r="C893" s="18" t="n">
        <v>81</v>
      </c>
      <c r="D893" s="30" t="n">
        <v>378.89</v>
      </c>
      <c r="E893" s="18" t="n">
        <v>2</v>
      </c>
    </row>
    <row r="894" customFormat="false" ht="15" hidden="false" customHeight="true" outlineLevel="0" collapsed="false">
      <c r="A894" s="18" t="s">
        <v>215</v>
      </c>
      <c r="B894" s="18" t="s">
        <v>272</v>
      </c>
      <c r="C894" s="18" t="n">
        <v>73</v>
      </c>
      <c r="D894" s="30" t="n">
        <v>325.02</v>
      </c>
      <c r="E894" s="18" t="n">
        <v>3</v>
      </c>
    </row>
    <row r="895" customFormat="false" ht="15" hidden="false" customHeight="true" outlineLevel="0" collapsed="false">
      <c r="A895" s="18" t="s">
        <v>215</v>
      </c>
      <c r="B895" s="18" t="s">
        <v>273</v>
      </c>
      <c r="C895" s="18" t="n">
        <v>107</v>
      </c>
      <c r="D895" s="30" t="n">
        <v>477.21</v>
      </c>
      <c r="E895" s="18" t="n">
        <v>4</v>
      </c>
    </row>
    <row r="896" customFormat="false" ht="15" hidden="false" customHeight="true" outlineLevel="0" collapsed="false">
      <c r="A896" s="18" t="s">
        <v>215</v>
      </c>
      <c r="B896" s="18" t="s">
        <v>274</v>
      </c>
      <c r="C896" s="18" t="n">
        <v>113</v>
      </c>
      <c r="D896" s="30" t="n">
        <v>516.75</v>
      </c>
      <c r="E896" s="18" t="n">
        <v>5</v>
      </c>
    </row>
    <row r="897" customFormat="false" ht="15" hidden="false" customHeight="true" outlineLevel="0" collapsed="false">
      <c r="A897" s="18" t="s">
        <v>215</v>
      </c>
      <c r="B897" s="18" t="s">
        <v>275</v>
      </c>
      <c r="C897" s="18" t="n">
        <v>102</v>
      </c>
      <c r="D897" s="30" t="n">
        <v>476.06</v>
      </c>
      <c r="E897" s="18" t="n">
        <v>6</v>
      </c>
    </row>
    <row r="898" customFormat="false" ht="15" hidden="false" customHeight="true" outlineLevel="0" collapsed="false">
      <c r="A898" s="18" t="s">
        <v>215</v>
      </c>
      <c r="B898" s="18" t="s">
        <v>276</v>
      </c>
      <c r="C898" s="18" t="n">
        <v>193</v>
      </c>
      <c r="D898" s="30" t="n">
        <v>881.51</v>
      </c>
      <c r="E898" s="18" t="n">
        <v>7</v>
      </c>
    </row>
    <row r="899" customFormat="false" ht="15" hidden="false" customHeight="true" outlineLevel="0" collapsed="false">
      <c r="A899" s="18" t="s">
        <v>215</v>
      </c>
      <c r="B899" s="18" t="s">
        <v>277</v>
      </c>
      <c r="C899" s="18" t="n">
        <v>84</v>
      </c>
      <c r="D899" s="30" t="n">
        <v>372.08</v>
      </c>
      <c r="E899" s="18" t="n">
        <v>8</v>
      </c>
    </row>
    <row r="900" customFormat="false" ht="15" hidden="false" customHeight="true" outlineLevel="0" collapsed="false">
      <c r="A900" s="18" t="s">
        <v>215</v>
      </c>
      <c r="B900" s="18" t="s">
        <v>278</v>
      </c>
      <c r="C900" s="18" t="n">
        <v>76</v>
      </c>
      <c r="D900" s="30" t="n">
        <v>352.35</v>
      </c>
      <c r="E900" s="18" t="n">
        <v>9</v>
      </c>
    </row>
    <row r="901" customFormat="false" ht="15" hidden="false" customHeight="true" outlineLevel="0" collapsed="false">
      <c r="A901" s="18" t="s">
        <v>215</v>
      </c>
      <c r="B901" s="18" t="s">
        <v>279</v>
      </c>
      <c r="C901" s="18" t="n">
        <v>92</v>
      </c>
      <c r="D901" s="30" t="n">
        <v>418.91</v>
      </c>
      <c r="E901" s="18" t="n">
        <v>10</v>
      </c>
    </row>
    <row r="902" customFormat="false" ht="15" hidden="false" customHeight="true" outlineLevel="0" collapsed="false">
      <c r="A902" s="18" t="s">
        <v>215</v>
      </c>
      <c r="B902" s="18" t="s">
        <v>280</v>
      </c>
      <c r="C902" s="18" t="n">
        <v>99</v>
      </c>
      <c r="D902" s="30" t="n">
        <v>454.85</v>
      </c>
      <c r="E902" s="18" t="n">
        <v>11</v>
      </c>
    </row>
    <row r="903" customFormat="false" ht="15" hidden="false" customHeight="true" outlineLevel="0" collapsed="false">
      <c r="A903" s="18" t="s">
        <v>215</v>
      </c>
      <c r="B903" s="18" t="s">
        <v>281</v>
      </c>
      <c r="C903" s="18" t="n">
        <v>72</v>
      </c>
      <c r="D903" s="30" t="n">
        <v>336.19</v>
      </c>
      <c r="E903" s="18" t="n">
        <v>12</v>
      </c>
    </row>
    <row r="904" customFormat="false" ht="15" hidden="false" customHeight="true" outlineLevel="0" collapsed="false">
      <c r="A904" s="18" t="s">
        <v>215</v>
      </c>
      <c r="B904" s="18" t="s">
        <v>282</v>
      </c>
      <c r="C904" s="18" t="n">
        <v>99</v>
      </c>
      <c r="D904" s="30" t="n">
        <v>441.96</v>
      </c>
      <c r="E904" s="18" t="n">
        <v>13</v>
      </c>
    </row>
    <row r="905" customFormat="false" ht="15" hidden="false" customHeight="true" outlineLevel="0" collapsed="false">
      <c r="A905" s="18" t="s">
        <v>215</v>
      </c>
      <c r="B905" s="18" t="s">
        <v>283</v>
      </c>
      <c r="C905" s="18" t="n">
        <v>97</v>
      </c>
      <c r="D905" s="30" t="n">
        <v>443.67</v>
      </c>
      <c r="E905" s="18" t="n">
        <v>14</v>
      </c>
    </row>
    <row r="906" customFormat="false" ht="15" hidden="false" customHeight="true" outlineLevel="0" collapsed="false">
      <c r="A906" s="18" t="s">
        <v>215</v>
      </c>
      <c r="B906" s="18" t="s">
        <v>284</v>
      </c>
      <c r="C906" s="18" t="n">
        <v>101</v>
      </c>
      <c r="D906" s="30" t="n">
        <v>457.97</v>
      </c>
      <c r="E906" s="18" t="n">
        <v>15</v>
      </c>
    </row>
    <row r="907" customFormat="false" ht="15" hidden="false" customHeight="true" outlineLevel="0" collapsed="false">
      <c r="A907" s="18" t="s">
        <v>215</v>
      </c>
      <c r="B907" s="18" t="s">
        <v>285</v>
      </c>
      <c r="C907" s="18" t="n">
        <v>67</v>
      </c>
      <c r="D907" s="30" t="n">
        <v>297.61</v>
      </c>
      <c r="E907" s="18" t="n">
        <v>16</v>
      </c>
    </row>
    <row r="908" customFormat="false" ht="15" hidden="false" customHeight="true" outlineLevel="0" collapsed="false">
      <c r="A908" s="18" t="s">
        <v>215</v>
      </c>
      <c r="B908" s="18" t="s">
        <v>286</v>
      </c>
      <c r="C908" s="18" t="n">
        <v>106</v>
      </c>
      <c r="D908" s="30" t="n">
        <v>481.79</v>
      </c>
      <c r="E908" s="18" t="n">
        <v>17</v>
      </c>
    </row>
    <row r="909" customFormat="false" ht="15" hidden="false" customHeight="true" outlineLevel="0" collapsed="false">
      <c r="A909" s="18" t="s">
        <v>215</v>
      </c>
      <c r="B909" s="18" t="s">
        <v>287</v>
      </c>
      <c r="C909" s="18" t="n">
        <v>86</v>
      </c>
      <c r="D909" s="30" t="n">
        <v>381.62</v>
      </c>
      <c r="E909" s="18" t="n">
        <v>18</v>
      </c>
    </row>
    <row r="910" customFormat="false" ht="15" hidden="false" customHeight="true" outlineLevel="0" collapsed="false">
      <c r="A910" s="18" t="s">
        <v>215</v>
      </c>
      <c r="B910" s="18" t="s">
        <v>288</v>
      </c>
      <c r="C910" s="18" t="n">
        <v>131</v>
      </c>
      <c r="D910" s="30" t="n">
        <v>611.41</v>
      </c>
      <c r="E910" s="18" t="n">
        <v>19</v>
      </c>
    </row>
    <row r="911" customFormat="false" ht="15" hidden="false" customHeight="true" outlineLevel="0" collapsed="false">
      <c r="A911" s="18" t="s">
        <v>215</v>
      </c>
      <c r="B911" s="18" t="s">
        <v>289</v>
      </c>
      <c r="C911" s="18" t="n">
        <v>55</v>
      </c>
      <c r="D911" s="30" t="n">
        <v>247.47</v>
      </c>
      <c r="E911" s="18" t="n">
        <v>20</v>
      </c>
    </row>
    <row r="912" customFormat="false" ht="15" hidden="false" customHeight="true" outlineLevel="0" collapsed="false">
      <c r="A912" s="18" t="s">
        <v>215</v>
      </c>
      <c r="B912" s="18" t="s">
        <v>290</v>
      </c>
      <c r="C912" s="18" t="n">
        <v>52</v>
      </c>
      <c r="D912" s="30" t="n">
        <v>235.92</v>
      </c>
      <c r="E912" s="18" t="n">
        <v>21</v>
      </c>
    </row>
    <row r="913" customFormat="false" ht="15" hidden="false" customHeight="true" outlineLevel="0" collapsed="false">
      <c r="A913" s="18" t="s">
        <v>215</v>
      </c>
      <c r="B913" s="18" t="s">
        <v>291</v>
      </c>
      <c r="C913" s="18" t="n">
        <v>65</v>
      </c>
      <c r="D913" s="30" t="n">
        <v>290.25</v>
      </c>
      <c r="E913" s="18" t="n">
        <v>22</v>
      </c>
    </row>
    <row r="914" customFormat="false" ht="15" hidden="false" customHeight="true" outlineLevel="0" collapsed="false">
      <c r="A914" s="18" t="s">
        <v>215</v>
      </c>
      <c r="B914" s="18" t="s">
        <v>292</v>
      </c>
      <c r="C914" s="18" t="n">
        <v>81</v>
      </c>
      <c r="D914" s="30" t="n">
        <v>363.09</v>
      </c>
      <c r="E914" s="18" t="n">
        <v>23</v>
      </c>
    </row>
    <row r="915" customFormat="false" ht="15" hidden="false" customHeight="true" outlineLevel="0" collapsed="false">
      <c r="A915" s="18" t="s">
        <v>215</v>
      </c>
      <c r="B915" s="18" t="s">
        <v>293</v>
      </c>
      <c r="C915" s="18" t="n">
        <v>88</v>
      </c>
      <c r="D915" s="30" t="n">
        <v>390</v>
      </c>
      <c r="E915" s="18" t="n">
        <v>24</v>
      </c>
    </row>
    <row r="916" customFormat="false" ht="15" hidden="false" customHeight="true" outlineLevel="0" collapsed="false">
      <c r="A916" s="18" t="s">
        <v>215</v>
      </c>
      <c r="B916" s="18" t="s">
        <v>294</v>
      </c>
      <c r="C916" s="18" t="n">
        <v>95</v>
      </c>
      <c r="D916" s="30" t="n">
        <v>436.24</v>
      </c>
      <c r="E916" s="18" t="n">
        <v>25</v>
      </c>
    </row>
    <row r="917" customFormat="false" ht="15" hidden="false" customHeight="true" outlineLevel="0" collapsed="false">
      <c r="A917" s="18" t="s">
        <v>215</v>
      </c>
      <c r="B917" s="18" t="s">
        <v>295</v>
      </c>
      <c r="C917" s="18" t="n">
        <v>139</v>
      </c>
      <c r="D917" s="30" t="n">
        <v>638.35</v>
      </c>
      <c r="E917" s="18" t="n">
        <v>26</v>
      </c>
    </row>
    <row r="918" customFormat="false" ht="15" hidden="false" customHeight="true" outlineLevel="0" collapsed="false">
      <c r="A918" s="18" t="s">
        <v>215</v>
      </c>
      <c r="B918" s="18" t="s">
        <v>296</v>
      </c>
      <c r="C918" s="18" t="n">
        <v>40</v>
      </c>
      <c r="D918" s="30" t="n">
        <v>186.91</v>
      </c>
      <c r="E918" s="18" t="n">
        <v>27</v>
      </c>
    </row>
    <row r="919" customFormat="false" ht="15" hidden="false" customHeight="true" outlineLevel="0" collapsed="false">
      <c r="A919" s="18" t="s">
        <v>215</v>
      </c>
      <c r="B919" s="18" t="s">
        <v>297</v>
      </c>
      <c r="C919" s="18" t="n">
        <v>45</v>
      </c>
      <c r="D919" s="30" t="n">
        <v>209.37</v>
      </c>
      <c r="E919" s="18" t="n">
        <v>28</v>
      </c>
    </row>
    <row r="920" customFormat="false" ht="15" hidden="false" customHeight="true" outlineLevel="0" collapsed="false">
      <c r="A920" s="18" t="s">
        <v>215</v>
      </c>
      <c r="B920" s="18" t="s">
        <v>298</v>
      </c>
      <c r="C920" s="18" t="n">
        <v>95</v>
      </c>
      <c r="D920" s="30" t="n">
        <v>427.59</v>
      </c>
      <c r="E920" s="18" t="n">
        <v>29</v>
      </c>
    </row>
    <row r="921" customFormat="false" ht="15" hidden="false" customHeight="true" outlineLevel="0" collapsed="false">
      <c r="A921" s="18" t="s">
        <v>215</v>
      </c>
      <c r="B921" s="18" t="s">
        <v>299</v>
      </c>
      <c r="C921" s="18" t="n">
        <v>165</v>
      </c>
      <c r="D921" s="30" t="n">
        <v>752.42</v>
      </c>
      <c r="E921" s="18" t="n">
        <v>30</v>
      </c>
    </row>
    <row r="922" customFormat="false" ht="15" hidden="false" customHeight="true" outlineLevel="0" collapsed="false">
      <c r="A922" s="18" t="s">
        <v>215</v>
      </c>
      <c r="B922" s="18" t="s">
        <v>300</v>
      </c>
      <c r="C922" s="18" t="n">
        <v>129</v>
      </c>
      <c r="D922" s="30" t="n">
        <v>571.48</v>
      </c>
      <c r="E922" s="18" t="n">
        <v>31</v>
      </c>
    </row>
    <row r="923" customFormat="false" ht="15" hidden="false" customHeight="true" outlineLevel="0" collapsed="false">
      <c r="A923" s="18" t="s">
        <v>215</v>
      </c>
      <c r="B923" s="18" t="s">
        <v>301</v>
      </c>
      <c r="C923" s="18" t="n">
        <v>76</v>
      </c>
      <c r="D923" s="30" t="n">
        <v>340.71</v>
      </c>
      <c r="E923" s="18" t="n">
        <v>32</v>
      </c>
    </row>
    <row r="924" customFormat="false" ht="15" hidden="false" customHeight="true" outlineLevel="0" collapsed="false">
      <c r="A924" s="18" t="s">
        <v>215</v>
      </c>
      <c r="B924" s="18" t="s">
        <v>302</v>
      </c>
      <c r="C924" s="18" t="n">
        <v>115</v>
      </c>
      <c r="D924" s="30" t="n">
        <v>513.74</v>
      </c>
      <c r="E924" s="18" t="n">
        <v>33</v>
      </c>
    </row>
    <row r="925" customFormat="false" ht="15" hidden="false" customHeight="true" outlineLevel="0" collapsed="false">
      <c r="A925" s="18" t="s">
        <v>215</v>
      </c>
      <c r="B925" s="18" t="s">
        <v>303</v>
      </c>
      <c r="C925" s="18" t="n">
        <v>104</v>
      </c>
      <c r="D925" s="30" t="n">
        <v>476.8</v>
      </c>
      <c r="E925" s="18" t="n">
        <v>34</v>
      </c>
    </row>
    <row r="926" customFormat="false" ht="15" hidden="false" customHeight="true" outlineLevel="0" collapsed="false">
      <c r="A926" s="18" t="s">
        <v>215</v>
      </c>
      <c r="B926" s="18" t="s">
        <v>304</v>
      </c>
      <c r="C926" s="18" t="n">
        <v>102</v>
      </c>
      <c r="D926" s="30" t="n">
        <v>459.79</v>
      </c>
      <c r="E926" s="18" t="n">
        <v>35</v>
      </c>
    </row>
    <row r="927" customFormat="false" ht="15" hidden="false" customHeight="true" outlineLevel="0" collapsed="false">
      <c r="A927" s="18" t="s">
        <v>215</v>
      </c>
      <c r="B927" s="18" t="s">
        <v>305</v>
      </c>
      <c r="C927" s="18" t="n">
        <v>89</v>
      </c>
      <c r="D927" s="30" t="n">
        <v>411.56</v>
      </c>
      <c r="E927" s="18" t="n">
        <v>36</v>
      </c>
    </row>
    <row r="928" customFormat="false" ht="15" hidden="false" customHeight="true" outlineLevel="0" collapsed="false">
      <c r="A928" s="18" t="s">
        <v>215</v>
      </c>
      <c r="B928" s="18" t="s">
        <v>306</v>
      </c>
      <c r="C928" s="18" t="n">
        <v>106</v>
      </c>
      <c r="D928" s="30" t="n">
        <v>484.83</v>
      </c>
      <c r="E928" s="18" t="n">
        <v>37</v>
      </c>
    </row>
    <row r="929" customFormat="false" ht="15" hidden="false" customHeight="true" outlineLevel="0" collapsed="false">
      <c r="A929" s="18" t="s">
        <v>215</v>
      </c>
      <c r="B929" s="18" t="s">
        <v>307</v>
      </c>
      <c r="C929" s="18" t="n">
        <v>132</v>
      </c>
      <c r="D929" s="30" t="n">
        <v>601.39</v>
      </c>
      <c r="E929" s="18" t="n">
        <v>38</v>
      </c>
    </row>
    <row r="930" customFormat="false" ht="15" hidden="false" customHeight="true" outlineLevel="0" collapsed="false">
      <c r="A930" s="18" t="s">
        <v>215</v>
      </c>
      <c r="B930" s="18" t="s">
        <v>308</v>
      </c>
      <c r="C930" s="18" t="n">
        <v>82</v>
      </c>
      <c r="D930" s="30" t="n">
        <v>379.67</v>
      </c>
      <c r="E930" s="18" t="n">
        <v>39</v>
      </c>
    </row>
    <row r="931" customFormat="false" ht="15" hidden="false" customHeight="true" outlineLevel="0" collapsed="false">
      <c r="A931" s="18" t="s">
        <v>215</v>
      </c>
      <c r="B931" s="18" t="s">
        <v>309</v>
      </c>
      <c r="C931" s="18" t="n">
        <v>108</v>
      </c>
      <c r="D931" s="30" t="n">
        <v>489.31</v>
      </c>
      <c r="E931" s="18" t="n">
        <v>40</v>
      </c>
    </row>
    <row r="932" customFormat="false" ht="15" hidden="false" customHeight="true" outlineLevel="0" collapsed="false">
      <c r="A932" s="18" t="s">
        <v>215</v>
      </c>
      <c r="B932" s="18" t="s">
        <v>310</v>
      </c>
      <c r="C932" s="18" t="n">
        <v>107</v>
      </c>
      <c r="D932" s="30" t="n">
        <v>501.07</v>
      </c>
      <c r="E932" s="18" t="n">
        <v>41</v>
      </c>
    </row>
    <row r="933" customFormat="false" ht="15" hidden="false" customHeight="true" outlineLevel="0" collapsed="false">
      <c r="A933" s="18" t="s">
        <v>215</v>
      </c>
      <c r="B933" s="18" t="s">
        <v>311</v>
      </c>
      <c r="C933" s="18" t="n">
        <v>114</v>
      </c>
      <c r="D933" s="30" t="n">
        <v>506.03</v>
      </c>
      <c r="E933" s="18" t="n">
        <v>42</v>
      </c>
    </row>
    <row r="934" customFormat="false" ht="15" hidden="false" customHeight="true" outlineLevel="0" collapsed="false">
      <c r="A934" s="18" t="s">
        <v>215</v>
      </c>
      <c r="B934" s="18" t="s">
        <v>312</v>
      </c>
      <c r="C934" s="18" t="n">
        <v>58</v>
      </c>
      <c r="D934" s="30" t="n">
        <v>257.99</v>
      </c>
      <c r="E934" s="18" t="n">
        <v>43</v>
      </c>
    </row>
    <row r="935" customFormat="false" ht="15" hidden="false" customHeight="true" outlineLevel="0" collapsed="false">
      <c r="A935" s="18" t="s">
        <v>215</v>
      </c>
      <c r="B935" s="18" t="s">
        <v>313</v>
      </c>
      <c r="C935" s="18" t="n">
        <v>75</v>
      </c>
      <c r="D935" s="30" t="n">
        <v>341.41</v>
      </c>
      <c r="E935" s="18" t="n">
        <v>44</v>
      </c>
    </row>
    <row r="936" customFormat="false" ht="15" hidden="false" customHeight="true" outlineLevel="0" collapsed="false">
      <c r="A936" s="18" t="s">
        <v>215</v>
      </c>
      <c r="B936" s="18" t="s">
        <v>314</v>
      </c>
      <c r="C936" s="18" t="n">
        <v>59</v>
      </c>
      <c r="D936" s="30" t="n">
        <v>274.4</v>
      </c>
      <c r="E936" s="18" t="n">
        <v>45</v>
      </c>
    </row>
    <row r="937" customFormat="false" ht="15" hidden="false" customHeight="true" outlineLevel="0" collapsed="false">
      <c r="A937" s="18" t="s">
        <v>215</v>
      </c>
      <c r="B937" s="18" t="s">
        <v>315</v>
      </c>
      <c r="C937" s="18" t="n">
        <v>74</v>
      </c>
      <c r="D937" s="30" t="n">
        <v>338.97</v>
      </c>
      <c r="E937" s="18" t="n">
        <v>46</v>
      </c>
    </row>
    <row r="938" customFormat="false" ht="15" hidden="false" customHeight="true" outlineLevel="0" collapsed="false">
      <c r="A938" s="18" t="s">
        <v>215</v>
      </c>
      <c r="B938" s="18" t="s">
        <v>316</v>
      </c>
      <c r="C938" s="18" t="n">
        <v>74</v>
      </c>
      <c r="D938" s="30" t="n">
        <v>343.62</v>
      </c>
      <c r="E938" s="18" t="n">
        <v>47</v>
      </c>
    </row>
    <row r="939" customFormat="false" ht="15" hidden="false" customHeight="true" outlineLevel="0" collapsed="false">
      <c r="A939" s="18" t="s">
        <v>215</v>
      </c>
      <c r="B939" s="18" t="s">
        <v>317</v>
      </c>
      <c r="C939" s="18" t="n">
        <v>49</v>
      </c>
      <c r="D939" s="30" t="n">
        <v>216.75</v>
      </c>
      <c r="E939" s="18" t="n">
        <v>48</v>
      </c>
    </row>
    <row r="940" customFormat="false" ht="15" hidden="false" customHeight="true" outlineLevel="0" collapsed="false">
      <c r="A940" s="18" t="s">
        <v>215</v>
      </c>
      <c r="B940" s="18" t="s">
        <v>318</v>
      </c>
      <c r="C940" s="18" t="n">
        <v>79</v>
      </c>
      <c r="D940" s="30" t="n">
        <v>353.33</v>
      </c>
      <c r="E940" s="18" t="n">
        <v>49</v>
      </c>
    </row>
    <row r="941" customFormat="false" ht="15" hidden="false" customHeight="true" outlineLevel="0" collapsed="false">
      <c r="A941" s="18" t="s">
        <v>215</v>
      </c>
      <c r="B941" s="18" t="s">
        <v>319</v>
      </c>
      <c r="C941" s="18" t="n">
        <v>130</v>
      </c>
      <c r="D941" s="30" t="n">
        <v>596.77</v>
      </c>
      <c r="E941" s="18" t="n">
        <v>50</v>
      </c>
    </row>
    <row r="942" customFormat="false" ht="15" hidden="false" customHeight="true" outlineLevel="0" collapsed="false">
      <c r="A942" s="18" t="s">
        <v>215</v>
      </c>
      <c r="B942" s="18" t="s">
        <v>320</v>
      </c>
      <c r="C942" s="18" t="n">
        <v>95</v>
      </c>
      <c r="D942" s="30" t="n">
        <v>424.16</v>
      </c>
      <c r="E942" s="18" t="n">
        <v>51</v>
      </c>
    </row>
    <row r="943" customFormat="false" ht="15" hidden="false" customHeight="true" outlineLevel="0" collapsed="false">
      <c r="A943" s="18" t="s">
        <v>215</v>
      </c>
      <c r="B943" s="18" t="s">
        <v>321</v>
      </c>
      <c r="C943" s="18" t="n">
        <v>54</v>
      </c>
      <c r="D943" s="30" t="n">
        <v>248.7</v>
      </c>
      <c r="E943" s="18" t="n">
        <v>52</v>
      </c>
    </row>
    <row r="944" customFormat="false" ht="15" hidden="false" customHeight="true" outlineLevel="0" collapsed="false">
      <c r="A944" s="18" t="s">
        <v>219</v>
      </c>
      <c r="B944" s="18" t="s">
        <v>270</v>
      </c>
      <c r="C944" s="18" t="n">
        <v>51</v>
      </c>
      <c r="D944" s="30" t="n">
        <v>87.13</v>
      </c>
      <c r="E944" s="18" t="n">
        <v>1</v>
      </c>
    </row>
    <row r="945" customFormat="false" ht="15" hidden="false" customHeight="true" outlineLevel="0" collapsed="false">
      <c r="A945" s="18" t="s">
        <v>219</v>
      </c>
      <c r="B945" s="18" t="s">
        <v>271</v>
      </c>
      <c r="C945" s="18" t="n">
        <v>69</v>
      </c>
      <c r="D945" s="30" t="n">
        <v>120.86</v>
      </c>
      <c r="E945" s="18" t="n">
        <v>2</v>
      </c>
    </row>
    <row r="946" customFormat="false" ht="15" hidden="false" customHeight="true" outlineLevel="0" collapsed="false">
      <c r="A946" s="18" t="s">
        <v>219</v>
      </c>
      <c r="B946" s="18" t="s">
        <v>272</v>
      </c>
      <c r="C946" s="18" t="n">
        <v>52</v>
      </c>
      <c r="D946" s="30" t="n">
        <v>88.92</v>
      </c>
      <c r="E946" s="18" t="n">
        <v>3</v>
      </c>
    </row>
    <row r="947" customFormat="false" ht="15" hidden="false" customHeight="true" outlineLevel="0" collapsed="false">
      <c r="A947" s="18" t="s">
        <v>219</v>
      </c>
      <c r="B947" s="18" t="s">
        <v>273</v>
      </c>
      <c r="C947" s="18" t="n">
        <v>70</v>
      </c>
      <c r="D947" s="30" t="n">
        <v>117.75</v>
      </c>
      <c r="E947" s="18" t="n">
        <v>4</v>
      </c>
    </row>
    <row r="948" customFormat="false" ht="15" hidden="false" customHeight="true" outlineLevel="0" collapsed="false">
      <c r="A948" s="18" t="s">
        <v>219</v>
      </c>
      <c r="B948" s="18" t="s">
        <v>274</v>
      </c>
      <c r="C948" s="18" t="n">
        <v>55</v>
      </c>
      <c r="D948" s="30" t="n">
        <v>92.54</v>
      </c>
      <c r="E948" s="18" t="n">
        <v>5</v>
      </c>
    </row>
    <row r="949" customFormat="false" ht="15" hidden="false" customHeight="true" outlineLevel="0" collapsed="false">
      <c r="A949" s="18" t="s">
        <v>219</v>
      </c>
      <c r="B949" s="18" t="s">
        <v>275</v>
      </c>
      <c r="C949" s="18" t="n">
        <v>69</v>
      </c>
      <c r="D949" s="30" t="n">
        <v>121.01</v>
      </c>
      <c r="E949" s="18" t="n">
        <v>6</v>
      </c>
    </row>
    <row r="950" customFormat="false" ht="15" hidden="false" customHeight="true" outlineLevel="0" collapsed="false">
      <c r="A950" s="18" t="s">
        <v>219</v>
      </c>
      <c r="B950" s="18" t="s">
        <v>276</v>
      </c>
      <c r="C950" s="18" t="n">
        <v>62</v>
      </c>
      <c r="D950" s="30" t="n">
        <v>108.91</v>
      </c>
      <c r="E950" s="18" t="n">
        <v>7</v>
      </c>
    </row>
    <row r="951" customFormat="false" ht="15" hidden="false" customHeight="true" outlineLevel="0" collapsed="false">
      <c r="A951" s="18" t="s">
        <v>219</v>
      </c>
      <c r="B951" s="18" t="s">
        <v>277</v>
      </c>
      <c r="C951" s="18" t="n">
        <v>77</v>
      </c>
      <c r="D951" s="30" t="n">
        <v>133.1</v>
      </c>
      <c r="E951" s="18" t="n">
        <v>8</v>
      </c>
    </row>
    <row r="952" customFormat="false" ht="15" hidden="false" customHeight="true" outlineLevel="0" collapsed="false">
      <c r="A952" s="18" t="s">
        <v>219</v>
      </c>
      <c r="B952" s="18" t="s">
        <v>278</v>
      </c>
      <c r="C952" s="18" t="n">
        <v>80</v>
      </c>
      <c r="D952" s="30" t="n">
        <v>136.94</v>
      </c>
      <c r="E952" s="18" t="n">
        <v>9</v>
      </c>
    </row>
    <row r="953" customFormat="false" ht="15" hidden="false" customHeight="true" outlineLevel="0" collapsed="false">
      <c r="A953" s="18" t="s">
        <v>219</v>
      </c>
      <c r="B953" s="18" t="s">
        <v>279</v>
      </c>
      <c r="C953" s="18" t="n">
        <v>73</v>
      </c>
      <c r="D953" s="30" t="n">
        <v>125.77</v>
      </c>
      <c r="E953" s="18" t="n">
        <v>10</v>
      </c>
    </row>
    <row r="954" customFormat="false" ht="15" hidden="false" customHeight="true" outlineLevel="0" collapsed="false">
      <c r="A954" s="18" t="s">
        <v>219</v>
      </c>
      <c r="B954" s="18" t="s">
        <v>280</v>
      </c>
      <c r="C954" s="18" t="n">
        <v>77</v>
      </c>
      <c r="D954" s="30" t="n">
        <v>136.39</v>
      </c>
      <c r="E954" s="18" t="n">
        <v>11</v>
      </c>
    </row>
    <row r="955" customFormat="false" ht="15" hidden="false" customHeight="true" outlineLevel="0" collapsed="false">
      <c r="A955" s="18" t="s">
        <v>219</v>
      </c>
      <c r="B955" s="18" t="s">
        <v>281</v>
      </c>
      <c r="C955" s="18" t="n">
        <v>47</v>
      </c>
      <c r="D955" s="30" t="n">
        <v>79.25</v>
      </c>
      <c r="E955" s="18" t="n">
        <v>12</v>
      </c>
    </row>
    <row r="956" customFormat="false" ht="15" hidden="false" customHeight="true" outlineLevel="0" collapsed="false">
      <c r="A956" s="18" t="s">
        <v>219</v>
      </c>
      <c r="B956" s="18" t="s">
        <v>282</v>
      </c>
      <c r="C956" s="18" t="n">
        <v>65</v>
      </c>
      <c r="D956" s="30" t="n">
        <v>110.3</v>
      </c>
      <c r="E956" s="18" t="n">
        <v>13</v>
      </c>
    </row>
    <row r="957" customFormat="false" ht="15" hidden="false" customHeight="true" outlineLevel="0" collapsed="false">
      <c r="A957" s="18" t="s">
        <v>219</v>
      </c>
      <c r="B957" s="18" t="s">
        <v>283</v>
      </c>
      <c r="C957" s="18" t="n">
        <v>65</v>
      </c>
      <c r="D957" s="30" t="n">
        <v>111.02</v>
      </c>
      <c r="E957" s="18" t="n">
        <v>14</v>
      </c>
    </row>
    <row r="958" customFormat="false" ht="15" hidden="false" customHeight="true" outlineLevel="0" collapsed="false">
      <c r="A958" s="18" t="s">
        <v>219</v>
      </c>
      <c r="B958" s="18" t="s">
        <v>284</v>
      </c>
      <c r="C958" s="18" t="n">
        <v>63</v>
      </c>
      <c r="D958" s="30" t="n">
        <v>110.72</v>
      </c>
      <c r="E958" s="18" t="n">
        <v>15</v>
      </c>
    </row>
    <row r="959" customFormat="false" ht="15" hidden="false" customHeight="true" outlineLevel="0" collapsed="false">
      <c r="A959" s="18" t="s">
        <v>219</v>
      </c>
      <c r="B959" s="18" t="s">
        <v>285</v>
      </c>
      <c r="C959" s="18" t="n">
        <v>44</v>
      </c>
      <c r="D959" s="30" t="n">
        <v>78.03</v>
      </c>
      <c r="E959" s="18" t="n">
        <v>16</v>
      </c>
    </row>
    <row r="960" customFormat="false" ht="15" hidden="false" customHeight="true" outlineLevel="0" collapsed="false">
      <c r="A960" s="18" t="s">
        <v>219</v>
      </c>
      <c r="B960" s="18" t="s">
        <v>286</v>
      </c>
      <c r="C960" s="18" t="n">
        <v>56</v>
      </c>
      <c r="D960" s="30" t="n">
        <v>94.36</v>
      </c>
      <c r="E960" s="18" t="n">
        <v>17</v>
      </c>
    </row>
    <row r="961" customFormat="false" ht="15" hidden="false" customHeight="true" outlineLevel="0" collapsed="false">
      <c r="A961" s="18" t="s">
        <v>219</v>
      </c>
      <c r="B961" s="18" t="s">
        <v>287</v>
      </c>
      <c r="C961" s="18" t="n">
        <v>56</v>
      </c>
      <c r="D961" s="30" t="n">
        <v>94.44</v>
      </c>
      <c r="E961" s="18" t="n">
        <v>18</v>
      </c>
    </row>
    <row r="962" customFormat="false" ht="15" hidden="false" customHeight="true" outlineLevel="0" collapsed="false">
      <c r="A962" s="18" t="s">
        <v>219</v>
      </c>
      <c r="B962" s="18" t="s">
        <v>288</v>
      </c>
      <c r="C962" s="18" t="n">
        <v>52</v>
      </c>
      <c r="D962" s="30" t="n">
        <v>92.58</v>
      </c>
      <c r="E962" s="18" t="n">
        <v>19</v>
      </c>
    </row>
    <row r="963" customFormat="false" ht="15" hidden="false" customHeight="true" outlineLevel="0" collapsed="false">
      <c r="A963" s="18" t="s">
        <v>219</v>
      </c>
      <c r="B963" s="18" t="s">
        <v>289</v>
      </c>
      <c r="C963" s="18" t="n">
        <v>43</v>
      </c>
      <c r="D963" s="30" t="n">
        <v>73.04</v>
      </c>
      <c r="E963" s="18" t="n">
        <v>20</v>
      </c>
    </row>
    <row r="964" customFormat="false" ht="15" hidden="false" customHeight="true" outlineLevel="0" collapsed="false">
      <c r="A964" s="18" t="s">
        <v>219</v>
      </c>
      <c r="B964" s="18" t="s">
        <v>290</v>
      </c>
      <c r="C964" s="18" t="n">
        <v>47</v>
      </c>
      <c r="D964" s="30" t="n">
        <v>81.3</v>
      </c>
      <c r="E964" s="18" t="n">
        <v>21</v>
      </c>
    </row>
    <row r="965" customFormat="false" ht="15" hidden="false" customHeight="true" outlineLevel="0" collapsed="false">
      <c r="A965" s="18" t="s">
        <v>219</v>
      </c>
      <c r="B965" s="18" t="s">
        <v>291</v>
      </c>
      <c r="C965" s="18" t="n">
        <v>59</v>
      </c>
      <c r="D965" s="30" t="n">
        <v>101.32</v>
      </c>
      <c r="E965" s="18" t="n">
        <v>22</v>
      </c>
    </row>
    <row r="966" customFormat="false" ht="15" hidden="false" customHeight="true" outlineLevel="0" collapsed="false">
      <c r="A966" s="18" t="s">
        <v>219</v>
      </c>
      <c r="B966" s="18" t="s">
        <v>292</v>
      </c>
      <c r="C966" s="18" t="n">
        <v>60</v>
      </c>
      <c r="D966" s="30" t="n">
        <v>101.55</v>
      </c>
      <c r="E966" s="18" t="n">
        <v>23</v>
      </c>
    </row>
    <row r="967" customFormat="false" ht="15" hidden="false" customHeight="true" outlineLevel="0" collapsed="false">
      <c r="A967" s="18" t="s">
        <v>219</v>
      </c>
      <c r="B967" s="18" t="s">
        <v>293</v>
      </c>
      <c r="C967" s="18" t="n">
        <v>59</v>
      </c>
      <c r="D967" s="30" t="n">
        <v>103.23</v>
      </c>
      <c r="E967" s="18" t="n">
        <v>24</v>
      </c>
    </row>
    <row r="968" customFormat="false" ht="15" hidden="false" customHeight="true" outlineLevel="0" collapsed="false">
      <c r="A968" s="18" t="s">
        <v>219</v>
      </c>
      <c r="B968" s="18" t="s">
        <v>294</v>
      </c>
      <c r="C968" s="18" t="n">
        <v>64</v>
      </c>
      <c r="D968" s="30" t="n">
        <v>109.85</v>
      </c>
      <c r="E968" s="18" t="n">
        <v>25</v>
      </c>
    </row>
    <row r="969" customFormat="false" ht="15" hidden="false" customHeight="true" outlineLevel="0" collapsed="false">
      <c r="A969" s="18" t="s">
        <v>219</v>
      </c>
      <c r="B969" s="18" t="s">
        <v>295</v>
      </c>
      <c r="C969" s="18" t="n">
        <v>69</v>
      </c>
      <c r="D969" s="30" t="n">
        <v>116.28</v>
      </c>
      <c r="E969" s="18" t="n">
        <v>26</v>
      </c>
    </row>
    <row r="970" customFormat="false" ht="15" hidden="false" customHeight="true" outlineLevel="0" collapsed="false">
      <c r="A970" s="18" t="s">
        <v>219</v>
      </c>
      <c r="B970" s="18" t="s">
        <v>296</v>
      </c>
      <c r="C970" s="18" t="n">
        <v>69</v>
      </c>
      <c r="D970" s="30" t="n">
        <v>116.28</v>
      </c>
      <c r="E970" s="18" t="n">
        <v>27</v>
      </c>
    </row>
    <row r="971" customFormat="false" ht="15" hidden="false" customHeight="true" outlineLevel="0" collapsed="false">
      <c r="A971" s="18" t="s">
        <v>219</v>
      </c>
      <c r="B971" s="18" t="s">
        <v>297</v>
      </c>
      <c r="C971" s="18" t="n">
        <v>79</v>
      </c>
      <c r="D971" s="30" t="n">
        <v>134.93</v>
      </c>
      <c r="E971" s="18" t="n">
        <v>28</v>
      </c>
    </row>
    <row r="972" customFormat="false" ht="15" hidden="false" customHeight="true" outlineLevel="0" collapsed="false">
      <c r="A972" s="18" t="s">
        <v>219</v>
      </c>
      <c r="B972" s="18" t="s">
        <v>298</v>
      </c>
      <c r="C972" s="18" t="n">
        <v>82</v>
      </c>
      <c r="D972" s="30" t="n">
        <v>138.17</v>
      </c>
      <c r="E972" s="18" t="n">
        <v>29</v>
      </c>
    </row>
    <row r="973" customFormat="false" ht="15" hidden="false" customHeight="true" outlineLevel="0" collapsed="false">
      <c r="A973" s="18" t="s">
        <v>219</v>
      </c>
      <c r="B973" s="18" t="s">
        <v>299</v>
      </c>
      <c r="C973" s="18" t="n">
        <v>99</v>
      </c>
      <c r="D973" s="30" t="n">
        <v>174.72</v>
      </c>
      <c r="E973" s="18" t="n">
        <v>30</v>
      </c>
    </row>
    <row r="974" customFormat="false" ht="15" hidden="false" customHeight="true" outlineLevel="0" collapsed="false">
      <c r="A974" s="18" t="s">
        <v>219</v>
      </c>
      <c r="B974" s="18" t="s">
        <v>300</v>
      </c>
      <c r="C974" s="18" t="n">
        <v>73</v>
      </c>
      <c r="D974" s="30" t="n">
        <v>122.68</v>
      </c>
      <c r="E974" s="18" t="n">
        <v>31</v>
      </c>
    </row>
    <row r="975" customFormat="false" ht="15" hidden="false" customHeight="true" outlineLevel="0" collapsed="false">
      <c r="A975" s="18" t="s">
        <v>219</v>
      </c>
      <c r="B975" s="18" t="s">
        <v>301</v>
      </c>
      <c r="C975" s="18" t="n">
        <v>75</v>
      </c>
      <c r="D975" s="30" t="n">
        <v>132.5</v>
      </c>
      <c r="E975" s="18" t="n">
        <v>32</v>
      </c>
    </row>
    <row r="976" customFormat="false" ht="15" hidden="false" customHeight="true" outlineLevel="0" collapsed="false">
      <c r="A976" s="18" t="s">
        <v>219</v>
      </c>
      <c r="B976" s="18" t="s">
        <v>302</v>
      </c>
      <c r="C976" s="18" t="n">
        <v>54</v>
      </c>
      <c r="D976" s="30" t="n">
        <v>93.69</v>
      </c>
      <c r="E976" s="18" t="n">
        <v>33</v>
      </c>
    </row>
    <row r="977" customFormat="false" ht="15" hidden="false" customHeight="true" outlineLevel="0" collapsed="false">
      <c r="A977" s="18" t="s">
        <v>219</v>
      </c>
      <c r="B977" s="18" t="s">
        <v>303</v>
      </c>
      <c r="C977" s="18" t="n">
        <v>85</v>
      </c>
      <c r="D977" s="30" t="n">
        <v>149.66</v>
      </c>
      <c r="E977" s="18" t="n">
        <v>34</v>
      </c>
    </row>
    <row r="978" customFormat="false" ht="15" hidden="false" customHeight="true" outlineLevel="0" collapsed="false">
      <c r="A978" s="18" t="s">
        <v>219</v>
      </c>
      <c r="B978" s="18" t="s">
        <v>304</v>
      </c>
      <c r="C978" s="18" t="n">
        <v>100</v>
      </c>
      <c r="D978" s="30" t="n">
        <v>173.01</v>
      </c>
      <c r="E978" s="18" t="n">
        <v>35</v>
      </c>
    </row>
    <row r="979" customFormat="false" ht="15" hidden="false" customHeight="true" outlineLevel="0" collapsed="false">
      <c r="A979" s="18" t="s">
        <v>219</v>
      </c>
      <c r="B979" s="18" t="s">
        <v>305</v>
      </c>
      <c r="C979" s="18" t="n">
        <v>92</v>
      </c>
      <c r="D979" s="30" t="n">
        <v>155.82</v>
      </c>
      <c r="E979" s="18" t="n">
        <v>36</v>
      </c>
    </row>
    <row r="980" customFormat="false" ht="15" hidden="false" customHeight="true" outlineLevel="0" collapsed="false">
      <c r="A980" s="18" t="s">
        <v>219</v>
      </c>
      <c r="B980" s="18" t="s">
        <v>306</v>
      </c>
      <c r="C980" s="18" t="n">
        <v>86</v>
      </c>
      <c r="D980" s="30" t="n">
        <v>144.78</v>
      </c>
      <c r="E980" s="18" t="n">
        <v>37</v>
      </c>
    </row>
    <row r="981" customFormat="false" ht="15" hidden="false" customHeight="true" outlineLevel="0" collapsed="false">
      <c r="A981" s="18" t="s">
        <v>219</v>
      </c>
      <c r="B981" s="18" t="s">
        <v>307</v>
      </c>
      <c r="C981" s="18" t="n">
        <v>88</v>
      </c>
      <c r="D981" s="30" t="n">
        <v>155.77</v>
      </c>
      <c r="E981" s="18" t="n">
        <v>38</v>
      </c>
    </row>
    <row r="982" customFormat="false" ht="15" hidden="false" customHeight="true" outlineLevel="0" collapsed="false">
      <c r="A982" s="18" t="s">
        <v>219</v>
      </c>
      <c r="B982" s="18" t="s">
        <v>308</v>
      </c>
      <c r="C982" s="18" t="n">
        <v>77</v>
      </c>
      <c r="D982" s="30" t="n">
        <v>134.69</v>
      </c>
      <c r="E982" s="18" t="n">
        <v>39</v>
      </c>
    </row>
    <row r="983" customFormat="false" ht="15" hidden="false" customHeight="true" outlineLevel="0" collapsed="false">
      <c r="A983" s="18" t="s">
        <v>219</v>
      </c>
      <c r="B983" s="18" t="s">
        <v>309</v>
      </c>
      <c r="C983" s="18" t="n">
        <v>67</v>
      </c>
      <c r="D983" s="30" t="n">
        <v>115.34</v>
      </c>
      <c r="E983" s="18" t="n">
        <v>40</v>
      </c>
    </row>
    <row r="984" customFormat="false" ht="15" hidden="false" customHeight="true" outlineLevel="0" collapsed="false">
      <c r="A984" s="18" t="s">
        <v>219</v>
      </c>
      <c r="B984" s="18" t="s">
        <v>310</v>
      </c>
      <c r="C984" s="18" t="n">
        <v>84</v>
      </c>
      <c r="D984" s="30" t="n">
        <v>145.51</v>
      </c>
      <c r="E984" s="18" t="n">
        <v>41</v>
      </c>
    </row>
    <row r="985" customFormat="false" ht="15" hidden="false" customHeight="true" outlineLevel="0" collapsed="false">
      <c r="A985" s="18" t="s">
        <v>219</v>
      </c>
      <c r="B985" s="18" t="s">
        <v>311</v>
      </c>
      <c r="C985" s="18" t="n">
        <v>67</v>
      </c>
      <c r="D985" s="30" t="n">
        <v>114.71</v>
      </c>
      <c r="E985" s="18" t="n">
        <v>42</v>
      </c>
    </row>
    <row r="986" customFormat="false" ht="15" hidden="false" customHeight="true" outlineLevel="0" collapsed="false">
      <c r="A986" s="18" t="s">
        <v>219</v>
      </c>
      <c r="B986" s="18" t="s">
        <v>312</v>
      </c>
      <c r="C986" s="18" t="n">
        <v>70</v>
      </c>
      <c r="D986" s="30" t="n">
        <v>119.29</v>
      </c>
      <c r="E986" s="18" t="n">
        <v>43</v>
      </c>
    </row>
    <row r="987" customFormat="false" ht="15" hidden="false" customHeight="true" outlineLevel="0" collapsed="false">
      <c r="A987" s="18" t="s">
        <v>219</v>
      </c>
      <c r="B987" s="18" t="s">
        <v>313</v>
      </c>
      <c r="C987" s="18" t="n">
        <v>42</v>
      </c>
      <c r="D987" s="30" t="n">
        <v>71.13</v>
      </c>
      <c r="E987" s="18" t="n">
        <v>44</v>
      </c>
    </row>
    <row r="988" customFormat="false" ht="15" hidden="false" customHeight="true" outlineLevel="0" collapsed="false">
      <c r="A988" s="18" t="s">
        <v>219</v>
      </c>
      <c r="B988" s="18" t="s">
        <v>314</v>
      </c>
      <c r="C988" s="18" t="n">
        <v>42</v>
      </c>
      <c r="D988" s="30" t="n">
        <v>73.11</v>
      </c>
      <c r="E988" s="18" t="n">
        <v>45</v>
      </c>
    </row>
    <row r="989" customFormat="false" ht="15" hidden="false" customHeight="true" outlineLevel="0" collapsed="false">
      <c r="A989" s="18" t="s">
        <v>219</v>
      </c>
      <c r="B989" s="18" t="s">
        <v>315</v>
      </c>
      <c r="C989" s="18" t="n">
        <v>58</v>
      </c>
      <c r="D989" s="30" t="n">
        <v>101.51</v>
      </c>
      <c r="E989" s="18" t="n">
        <v>46</v>
      </c>
    </row>
    <row r="990" customFormat="false" ht="15" hidden="false" customHeight="true" outlineLevel="0" collapsed="false">
      <c r="A990" s="18" t="s">
        <v>219</v>
      </c>
      <c r="B990" s="18" t="s">
        <v>316</v>
      </c>
      <c r="C990" s="18" t="n">
        <v>51</v>
      </c>
      <c r="D990" s="30" t="n">
        <v>86.84</v>
      </c>
      <c r="E990" s="18" t="n">
        <v>47</v>
      </c>
    </row>
    <row r="991" customFormat="false" ht="15" hidden="false" customHeight="true" outlineLevel="0" collapsed="false">
      <c r="A991" s="18" t="s">
        <v>219</v>
      </c>
      <c r="B991" s="18" t="s">
        <v>317</v>
      </c>
      <c r="C991" s="18" t="n">
        <v>60</v>
      </c>
      <c r="D991" s="30" t="n">
        <v>100.74</v>
      </c>
      <c r="E991" s="18" t="n">
        <v>48</v>
      </c>
    </row>
    <row r="992" customFormat="false" ht="15" hidden="false" customHeight="true" outlineLevel="0" collapsed="false">
      <c r="A992" s="18" t="s">
        <v>219</v>
      </c>
      <c r="B992" s="18" t="s">
        <v>318</v>
      </c>
      <c r="C992" s="18" t="n">
        <v>57</v>
      </c>
      <c r="D992" s="30" t="n">
        <v>100.16</v>
      </c>
      <c r="E992" s="18" t="n">
        <v>49</v>
      </c>
    </row>
    <row r="993" customFormat="false" ht="15" hidden="false" customHeight="true" outlineLevel="0" collapsed="false">
      <c r="A993" s="18" t="s">
        <v>219</v>
      </c>
      <c r="B993" s="18" t="s">
        <v>319</v>
      </c>
      <c r="C993" s="18" t="n">
        <v>84</v>
      </c>
      <c r="D993" s="30" t="n">
        <v>141.35</v>
      </c>
      <c r="E993" s="18" t="n">
        <v>50</v>
      </c>
    </row>
    <row r="994" customFormat="false" ht="15" hidden="false" customHeight="true" outlineLevel="0" collapsed="false">
      <c r="A994" s="18" t="s">
        <v>219</v>
      </c>
      <c r="B994" s="18" t="s">
        <v>320</v>
      </c>
      <c r="C994" s="18" t="n">
        <v>75</v>
      </c>
      <c r="D994" s="30" t="n">
        <v>126.42</v>
      </c>
      <c r="E994" s="18" t="n">
        <v>51</v>
      </c>
    </row>
    <row r="995" customFormat="false" ht="15" hidden="false" customHeight="true" outlineLevel="0" collapsed="false">
      <c r="A995" s="18" t="s">
        <v>219</v>
      </c>
      <c r="B995" s="18" t="s">
        <v>321</v>
      </c>
      <c r="C995" s="18" t="n">
        <v>82</v>
      </c>
      <c r="D995" s="30" t="n">
        <v>144.04</v>
      </c>
      <c r="E995" s="18" t="n">
        <v>52</v>
      </c>
    </row>
    <row r="996" customFormat="false" ht="15" hidden="false" customHeight="true" outlineLevel="0" collapsed="false">
      <c r="A996" s="18" t="s">
        <v>221</v>
      </c>
      <c r="B996" s="18" t="s">
        <v>270</v>
      </c>
      <c r="C996" s="18" t="n">
        <v>87</v>
      </c>
      <c r="D996" s="30" t="n">
        <v>215.16</v>
      </c>
      <c r="E996" s="18" t="n">
        <v>1</v>
      </c>
    </row>
    <row r="997" customFormat="false" ht="15" hidden="false" customHeight="true" outlineLevel="0" collapsed="false">
      <c r="A997" s="18" t="s">
        <v>221</v>
      </c>
      <c r="B997" s="18" t="s">
        <v>271</v>
      </c>
      <c r="C997" s="18" t="n">
        <v>111</v>
      </c>
      <c r="D997" s="30" t="n">
        <v>280.65</v>
      </c>
      <c r="E997" s="18" t="n">
        <v>2</v>
      </c>
    </row>
    <row r="998" customFormat="false" ht="15" hidden="false" customHeight="true" outlineLevel="0" collapsed="false">
      <c r="A998" s="18" t="s">
        <v>221</v>
      </c>
      <c r="B998" s="18" t="s">
        <v>272</v>
      </c>
      <c r="C998" s="18" t="n">
        <v>107</v>
      </c>
      <c r="D998" s="30" t="n">
        <v>274.37</v>
      </c>
      <c r="E998" s="18" t="n">
        <v>3</v>
      </c>
    </row>
    <row r="999" customFormat="false" ht="15" hidden="false" customHeight="true" outlineLevel="0" collapsed="false">
      <c r="A999" s="18" t="s">
        <v>221</v>
      </c>
      <c r="B999" s="18" t="s">
        <v>273</v>
      </c>
      <c r="C999" s="18" t="n">
        <v>104</v>
      </c>
      <c r="D999" s="30" t="n">
        <v>268.25</v>
      </c>
      <c r="E999" s="18" t="n">
        <v>4</v>
      </c>
    </row>
    <row r="1000" customFormat="false" ht="15" hidden="false" customHeight="true" outlineLevel="0" collapsed="false">
      <c r="A1000" s="18" t="s">
        <v>221</v>
      </c>
      <c r="B1000" s="18" t="s">
        <v>274</v>
      </c>
      <c r="C1000" s="18" t="n">
        <v>93</v>
      </c>
      <c r="D1000" s="30" t="n">
        <v>230.81</v>
      </c>
      <c r="E1000" s="18" t="n">
        <v>5</v>
      </c>
    </row>
    <row r="1001" customFormat="false" ht="15" hidden="false" customHeight="true" outlineLevel="0" collapsed="false">
      <c r="A1001" s="18" t="s">
        <v>221</v>
      </c>
      <c r="B1001" s="18" t="s">
        <v>275</v>
      </c>
      <c r="C1001" s="18" t="n">
        <v>113</v>
      </c>
      <c r="D1001" s="30" t="n">
        <v>281.3</v>
      </c>
      <c r="E1001" s="18" t="n">
        <v>6</v>
      </c>
    </row>
    <row r="1002" customFormat="false" ht="15" hidden="false" customHeight="true" outlineLevel="0" collapsed="false">
      <c r="A1002" s="18" t="s">
        <v>221</v>
      </c>
      <c r="B1002" s="18" t="s">
        <v>276</v>
      </c>
      <c r="C1002" s="18" t="n">
        <v>129</v>
      </c>
      <c r="D1002" s="30" t="n">
        <v>333.5</v>
      </c>
      <c r="E1002" s="18" t="n">
        <v>7</v>
      </c>
    </row>
    <row r="1003" customFormat="false" ht="15" hidden="false" customHeight="true" outlineLevel="0" collapsed="false">
      <c r="A1003" s="18" t="s">
        <v>221</v>
      </c>
      <c r="B1003" s="18" t="s">
        <v>277</v>
      </c>
      <c r="C1003" s="18" t="n">
        <v>134</v>
      </c>
      <c r="D1003" s="30" t="n">
        <v>347.3</v>
      </c>
      <c r="E1003" s="18" t="n">
        <v>8</v>
      </c>
    </row>
    <row r="1004" customFormat="false" ht="15" hidden="false" customHeight="true" outlineLevel="0" collapsed="false">
      <c r="A1004" s="18" t="s">
        <v>221</v>
      </c>
      <c r="B1004" s="18" t="s">
        <v>278</v>
      </c>
      <c r="C1004" s="18" t="n">
        <v>107</v>
      </c>
      <c r="D1004" s="30" t="n">
        <v>270.25</v>
      </c>
      <c r="E1004" s="18" t="n">
        <v>9</v>
      </c>
    </row>
    <row r="1005" customFormat="false" ht="15" hidden="false" customHeight="true" outlineLevel="0" collapsed="false">
      <c r="A1005" s="18" t="s">
        <v>221</v>
      </c>
      <c r="B1005" s="18" t="s">
        <v>279</v>
      </c>
      <c r="C1005" s="18" t="n">
        <v>143</v>
      </c>
      <c r="D1005" s="30" t="n">
        <v>351.87</v>
      </c>
      <c r="E1005" s="18" t="n">
        <v>10</v>
      </c>
    </row>
    <row r="1006" customFormat="false" ht="15" hidden="false" customHeight="true" outlineLevel="0" collapsed="false">
      <c r="A1006" s="18" t="s">
        <v>221</v>
      </c>
      <c r="B1006" s="18" t="s">
        <v>280</v>
      </c>
      <c r="C1006" s="18" t="n">
        <v>120</v>
      </c>
      <c r="D1006" s="30" t="n">
        <v>302.9</v>
      </c>
      <c r="E1006" s="18" t="n">
        <v>11</v>
      </c>
    </row>
    <row r="1007" customFormat="false" ht="15" hidden="false" customHeight="true" outlineLevel="0" collapsed="false">
      <c r="A1007" s="18" t="s">
        <v>221</v>
      </c>
      <c r="B1007" s="18" t="s">
        <v>281</v>
      </c>
      <c r="C1007" s="18" t="n">
        <v>91</v>
      </c>
      <c r="D1007" s="30" t="n">
        <v>235.26</v>
      </c>
      <c r="E1007" s="18" t="n">
        <v>12</v>
      </c>
    </row>
    <row r="1008" customFormat="false" ht="15" hidden="false" customHeight="true" outlineLevel="0" collapsed="false">
      <c r="A1008" s="18" t="s">
        <v>221</v>
      </c>
      <c r="B1008" s="18" t="s">
        <v>282</v>
      </c>
      <c r="C1008" s="18" t="n">
        <v>84</v>
      </c>
      <c r="D1008" s="30" t="n">
        <v>207.84</v>
      </c>
      <c r="E1008" s="18" t="n">
        <v>13</v>
      </c>
    </row>
    <row r="1009" customFormat="false" ht="15" hidden="false" customHeight="true" outlineLevel="0" collapsed="false">
      <c r="A1009" s="18" t="s">
        <v>221</v>
      </c>
      <c r="B1009" s="18" t="s">
        <v>283</v>
      </c>
      <c r="C1009" s="18" t="n">
        <v>91</v>
      </c>
      <c r="D1009" s="30" t="n">
        <v>223.77</v>
      </c>
      <c r="E1009" s="18" t="n">
        <v>14</v>
      </c>
    </row>
    <row r="1010" customFormat="false" ht="15" hidden="false" customHeight="true" outlineLevel="0" collapsed="false">
      <c r="A1010" s="18" t="s">
        <v>221</v>
      </c>
      <c r="B1010" s="18" t="s">
        <v>284</v>
      </c>
      <c r="C1010" s="18" t="n">
        <v>83</v>
      </c>
      <c r="D1010" s="30" t="n">
        <v>211.99</v>
      </c>
      <c r="E1010" s="18" t="n">
        <v>15</v>
      </c>
    </row>
    <row r="1011" customFormat="false" ht="15" hidden="false" customHeight="true" outlineLevel="0" collapsed="false">
      <c r="A1011" s="18" t="s">
        <v>221</v>
      </c>
      <c r="B1011" s="18" t="s">
        <v>285</v>
      </c>
      <c r="C1011" s="18" t="n">
        <v>87</v>
      </c>
      <c r="D1011" s="30" t="n">
        <v>221.76</v>
      </c>
      <c r="E1011" s="18" t="n">
        <v>16</v>
      </c>
    </row>
    <row r="1012" customFormat="false" ht="15" hidden="false" customHeight="true" outlineLevel="0" collapsed="false">
      <c r="A1012" s="18" t="s">
        <v>221</v>
      </c>
      <c r="B1012" s="18" t="s">
        <v>286</v>
      </c>
      <c r="C1012" s="18" t="n">
        <v>78</v>
      </c>
      <c r="D1012" s="30" t="n">
        <v>199.6</v>
      </c>
      <c r="E1012" s="18" t="n">
        <v>17</v>
      </c>
    </row>
    <row r="1013" customFormat="false" ht="15" hidden="false" customHeight="true" outlineLevel="0" collapsed="false">
      <c r="A1013" s="18" t="s">
        <v>221</v>
      </c>
      <c r="B1013" s="18" t="s">
        <v>287</v>
      </c>
      <c r="C1013" s="18" t="n">
        <v>72</v>
      </c>
      <c r="D1013" s="30" t="n">
        <v>183.82</v>
      </c>
      <c r="E1013" s="18" t="n">
        <v>18</v>
      </c>
    </row>
    <row r="1014" customFormat="false" ht="15" hidden="false" customHeight="true" outlineLevel="0" collapsed="false">
      <c r="A1014" s="18" t="s">
        <v>221</v>
      </c>
      <c r="B1014" s="18" t="s">
        <v>288</v>
      </c>
      <c r="C1014" s="18" t="n">
        <v>58</v>
      </c>
      <c r="D1014" s="30" t="n">
        <v>144.6</v>
      </c>
      <c r="E1014" s="18" t="n">
        <v>19</v>
      </c>
    </row>
    <row r="1015" customFormat="false" ht="15" hidden="false" customHeight="true" outlineLevel="0" collapsed="false">
      <c r="A1015" s="18" t="s">
        <v>221</v>
      </c>
      <c r="B1015" s="18" t="s">
        <v>289</v>
      </c>
      <c r="C1015" s="18" t="n">
        <v>76</v>
      </c>
      <c r="D1015" s="30" t="n">
        <v>196.77</v>
      </c>
      <c r="E1015" s="18" t="n">
        <v>20</v>
      </c>
    </row>
    <row r="1016" customFormat="false" ht="15" hidden="false" customHeight="true" outlineLevel="0" collapsed="false">
      <c r="A1016" s="18" t="s">
        <v>221</v>
      </c>
      <c r="B1016" s="18" t="s">
        <v>290</v>
      </c>
      <c r="C1016" s="18" t="n">
        <v>57</v>
      </c>
      <c r="D1016" s="30" t="n">
        <v>145.06</v>
      </c>
      <c r="E1016" s="18" t="n">
        <v>21</v>
      </c>
    </row>
    <row r="1017" customFormat="false" ht="15" hidden="false" customHeight="true" outlineLevel="0" collapsed="false">
      <c r="A1017" s="18" t="s">
        <v>221</v>
      </c>
      <c r="B1017" s="18" t="s">
        <v>291</v>
      </c>
      <c r="C1017" s="18" t="n">
        <v>82</v>
      </c>
      <c r="D1017" s="30" t="n">
        <v>209.82</v>
      </c>
      <c r="E1017" s="18" t="n">
        <v>22</v>
      </c>
    </row>
    <row r="1018" customFormat="false" ht="15" hidden="false" customHeight="true" outlineLevel="0" collapsed="false">
      <c r="A1018" s="18" t="s">
        <v>221</v>
      </c>
      <c r="B1018" s="18" t="s">
        <v>292</v>
      </c>
      <c r="C1018" s="18" t="n">
        <v>57</v>
      </c>
      <c r="D1018" s="30" t="n">
        <v>140.71</v>
      </c>
      <c r="E1018" s="18" t="n">
        <v>23</v>
      </c>
    </row>
    <row r="1019" customFormat="false" ht="15" hidden="false" customHeight="true" outlineLevel="0" collapsed="false">
      <c r="A1019" s="18" t="s">
        <v>221</v>
      </c>
      <c r="B1019" s="18" t="s">
        <v>293</v>
      </c>
      <c r="C1019" s="18" t="n">
        <v>63</v>
      </c>
      <c r="D1019" s="30" t="n">
        <v>159.14</v>
      </c>
      <c r="E1019" s="18" t="n">
        <v>24</v>
      </c>
    </row>
    <row r="1020" customFormat="false" ht="15" hidden="false" customHeight="true" outlineLevel="0" collapsed="false">
      <c r="A1020" s="18" t="s">
        <v>221</v>
      </c>
      <c r="B1020" s="18" t="s">
        <v>294</v>
      </c>
      <c r="C1020" s="18" t="n">
        <v>75</v>
      </c>
      <c r="D1020" s="30" t="n">
        <v>189.81</v>
      </c>
      <c r="E1020" s="18" t="n">
        <v>25</v>
      </c>
    </row>
    <row r="1021" customFormat="false" ht="15" hidden="false" customHeight="true" outlineLevel="0" collapsed="false">
      <c r="A1021" s="18" t="s">
        <v>221</v>
      </c>
      <c r="B1021" s="18" t="s">
        <v>295</v>
      </c>
      <c r="C1021" s="18" t="n">
        <v>85</v>
      </c>
      <c r="D1021" s="30" t="n">
        <v>212.97</v>
      </c>
      <c r="E1021" s="18" t="n">
        <v>26</v>
      </c>
    </row>
    <row r="1022" customFormat="false" ht="15" hidden="false" customHeight="true" outlineLevel="0" collapsed="false">
      <c r="A1022" s="18" t="s">
        <v>221</v>
      </c>
      <c r="B1022" s="18" t="s">
        <v>296</v>
      </c>
      <c r="C1022" s="18" t="n">
        <v>88</v>
      </c>
      <c r="D1022" s="30" t="n">
        <v>222.89</v>
      </c>
      <c r="E1022" s="18" t="n">
        <v>27</v>
      </c>
    </row>
    <row r="1023" customFormat="false" ht="15" hidden="false" customHeight="true" outlineLevel="0" collapsed="false">
      <c r="A1023" s="18" t="s">
        <v>221</v>
      </c>
      <c r="B1023" s="18" t="s">
        <v>297</v>
      </c>
      <c r="C1023" s="18" t="n">
        <v>96</v>
      </c>
      <c r="D1023" s="30" t="n">
        <v>245.12</v>
      </c>
      <c r="E1023" s="18" t="n">
        <v>28</v>
      </c>
    </row>
    <row r="1024" customFormat="false" ht="15" hidden="false" customHeight="true" outlineLevel="0" collapsed="false">
      <c r="A1024" s="18" t="s">
        <v>221</v>
      </c>
      <c r="B1024" s="18" t="s">
        <v>298</v>
      </c>
      <c r="C1024" s="18" t="n">
        <v>110</v>
      </c>
      <c r="D1024" s="30" t="n">
        <v>282.03</v>
      </c>
      <c r="E1024" s="18" t="n">
        <v>29</v>
      </c>
    </row>
    <row r="1025" customFormat="false" ht="15" hidden="false" customHeight="true" outlineLevel="0" collapsed="false">
      <c r="A1025" s="18" t="s">
        <v>221</v>
      </c>
      <c r="B1025" s="18" t="s">
        <v>299</v>
      </c>
      <c r="C1025" s="18" t="n">
        <v>100</v>
      </c>
      <c r="D1025" s="30" t="n">
        <v>245.97</v>
      </c>
      <c r="E1025" s="18" t="n">
        <v>30</v>
      </c>
    </row>
    <row r="1026" customFormat="false" ht="15" hidden="false" customHeight="true" outlineLevel="0" collapsed="false">
      <c r="A1026" s="18" t="s">
        <v>221</v>
      </c>
      <c r="B1026" s="18" t="s">
        <v>300</v>
      </c>
      <c r="C1026" s="18" t="n">
        <v>120</v>
      </c>
      <c r="D1026" s="30" t="n">
        <v>302.9</v>
      </c>
      <c r="E1026" s="18" t="n">
        <v>31</v>
      </c>
    </row>
    <row r="1027" customFormat="false" ht="15" hidden="false" customHeight="true" outlineLevel="0" collapsed="false">
      <c r="A1027" s="18" t="s">
        <v>221</v>
      </c>
      <c r="B1027" s="18" t="s">
        <v>301</v>
      </c>
      <c r="C1027" s="18" t="n">
        <v>85</v>
      </c>
      <c r="D1027" s="30" t="n">
        <v>216.5</v>
      </c>
      <c r="E1027" s="18" t="n">
        <v>32</v>
      </c>
    </row>
    <row r="1028" customFormat="false" ht="15" hidden="false" customHeight="true" outlineLevel="0" collapsed="false">
      <c r="A1028" s="18" t="s">
        <v>221</v>
      </c>
      <c r="B1028" s="18" t="s">
        <v>302</v>
      </c>
      <c r="C1028" s="18" t="n">
        <v>108</v>
      </c>
      <c r="D1028" s="30" t="n">
        <v>273.67</v>
      </c>
      <c r="E1028" s="18" t="n">
        <v>33</v>
      </c>
    </row>
    <row r="1029" customFormat="false" ht="15" hidden="false" customHeight="true" outlineLevel="0" collapsed="false">
      <c r="A1029" s="18" t="s">
        <v>221</v>
      </c>
      <c r="B1029" s="18" t="s">
        <v>303</v>
      </c>
      <c r="C1029" s="18" t="n">
        <v>96</v>
      </c>
      <c r="D1029" s="30" t="n">
        <v>245.32</v>
      </c>
      <c r="E1029" s="18" t="n">
        <v>34</v>
      </c>
    </row>
    <row r="1030" customFormat="false" ht="15" hidden="false" customHeight="true" outlineLevel="0" collapsed="false">
      <c r="A1030" s="18" t="s">
        <v>221</v>
      </c>
      <c r="B1030" s="18" t="s">
        <v>304</v>
      </c>
      <c r="C1030" s="18" t="n">
        <v>136</v>
      </c>
      <c r="D1030" s="30" t="n">
        <v>344.64</v>
      </c>
      <c r="E1030" s="18" t="n">
        <v>35</v>
      </c>
    </row>
    <row r="1031" customFormat="false" ht="15" hidden="false" customHeight="true" outlineLevel="0" collapsed="false">
      <c r="A1031" s="18" t="s">
        <v>221</v>
      </c>
      <c r="B1031" s="18" t="s">
        <v>305</v>
      </c>
      <c r="C1031" s="18" t="n">
        <v>107</v>
      </c>
      <c r="D1031" s="30" t="n">
        <v>267.03</v>
      </c>
      <c r="E1031" s="18" t="n">
        <v>36</v>
      </c>
    </row>
    <row r="1032" customFormat="false" ht="15" hidden="false" customHeight="true" outlineLevel="0" collapsed="false">
      <c r="A1032" s="18" t="s">
        <v>221</v>
      </c>
      <c r="B1032" s="18" t="s">
        <v>306</v>
      </c>
      <c r="C1032" s="18" t="n">
        <v>122</v>
      </c>
      <c r="D1032" s="30" t="n">
        <v>314.16</v>
      </c>
      <c r="E1032" s="18" t="n">
        <v>37</v>
      </c>
    </row>
    <row r="1033" customFormat="false" ht="15" hidden="false" customHeight="true" outlineLevel="0" collapsed="false">
      <c r="A1033" s="18" t="s">
        <v>221</v>
      </c>
      <c r="B1033" s="18" t="s">
        <v>307</v>
      </c>
      <c r="C1033" s="18" t="n">
        <v>85</v>
      </c>
      <c r="D1033" s="30" t="n">
        <v>214.45</v>
      </c>
      <c r="E1033" s="18" t="n">
        <v>38</v>
      </c>
    </row>
    <row r="1034" customFormat="false" ht="15" hidden="false" customHeight="true" outlineLevel="0" collapsed="false">
      <c r="A1034" s="18" t="s">
        <v>221</v>
      </c>
      <c r="B1034" s="18" t="s">
        <v>308</v>
      </c>
      <c r="C1034" s="18" t="n">
        <v>124</v>
      </c>
      <c r="D1034" s="30" t="n">
        <v>304.05</v>
      </c>
      <c r="E1034" s="18" t="n">
        <v>39</v>
      </c>
    </row>
    <row r="1035" customFormat="false" ht="15" hidden="false" customHeight="true" outlineLevel="0" collapsed="false">
      <c r="A1035" s="18" t="s">
        <v>221</v>
      </c>
      <c r="B1035" s="18" t="s">
        <v>309</v>
      </c>
      <c r="C1035" s="18" t="n">
        <v>100</v>
      </c>
      <c r="D1035" s="30" t="n">
        <v>247.36</v>
      </c>
      <c r="E1035" s="18" t="n">
        <v>40</v>
      </c>
    </row>
    <row r="1036" customFormat="false" ht="15" hidden="false" customHeight="true" outlineLevel="0" collapsed="false">
      <c r="A1036" s="18" t="s">
        <v>221</v>
      </c>
      <c r="B1036" s="18" t="s">
        <v>310</v>
      </c>
      <c r="C1036" s="18" t="n">
        <v>117</v>
      </c>
      <c r="D1036" s="30" t="n">
        <v>302.7</v>
      </c>
      <c r="E1036" s="18" t="n">
        <v>41</v>
      </c>
    </row>
    <row r="1037" customFormat="false" ht="15" hidden="false" customHeight="true" outlineLevel="0" collapsed="false">
      <c r="A1037" s="18" t="s">
        <v>221</v>
      </c>
      <c r="B1037" s="18" t="s">
        <v>311</v>
      </c>
      <c r="C1037" s="18" t="n">
        <v>88</v>
      </c>
      <c r="D1037" s="30" t="n">
        <v>218.23</v>
      </c>
      <c r="E1037" s="18" t="n">
        <v>42</v>
      </c>
    </row>
    <row r="1038" customFormat="false" ht="15" hidden="false" customHeight="true" outlineLevel="0" collapsed="false">
      <c r="A1038" s="18" t="s">
        <v>221</v>
      </c>
      <c r="B1038" s="18" t="s">
        <v>312</v>
      </c>
      <c r="C1038" s="18" t="n">
        <v>68</v>
      </c>
      <c r="D1038" s="30" t="n">
        <v>169.7</v>
      </c>
      <c r="E1038" s="18" t="n">
        <v>43</v>
      </c>
    </row>
    <row r="1039" customFormat="false" ht="15" hidden="false" customHeight="true" outlineLevel="0" collapsed="false">
      <c r="A1039" s="18" t="s">
        <v>221</v>
      </c>
      <c r="B1039" s="18" t="s">
        <v>313</v>
      </c>
      <c r="C1039" s="18" t="n">
        <v>70</v>
      </c>
      <c r="D1039" s="30" t="n">
        <v>175.17</v>
      </c>
      <c r="E1039" s="18" t="n">
        <v>44</v>
      </c>
    </row>
    <row r="1040" customFormat="false" ht="15" hidden="false" customHeight="true" outlineLevel="0" collapsed="false">
      <c r="A1040" s="18" t="s">
        <v>221</v>
      </c>
      <c r="B1040" s="18" t="s">
        <v>314</v>
      </c>
      <c r="C1040" s="18" t="n">
        <v>74</v>
      </c>
      <c r="D1040" s="30" t="n">
        <v>189.87</v>
      </c>
      <c r="E1040" s="18" t="n">
        <v>45</v>
      </c>
    </row>
    <row r="1041" customFormat="false" ht="15" hidden="false" customHeight="true" outlineLevel="0" collapsed="false">
      <c r="A1041" s="18" t="s">
        <v>221</v>
      </c>
      <c r="B1041" s="18" t="s">
        <v>315</v>
      </c>
      <c r="C1041" s="18" t="n">
        <v>67</v>
      </c>
      <c r="D1041" s="30" t="n">
        <v>167.85</v>
      </c>
      <c r="E1041" s="18" t="n">
        <v>46</v>
      </c>
    </row>
    <row r="1042" customFormat="false" ht="15" hidden="false" customHeight="true" outlineLevel="0" collapsed="false">
      <c r="A1042" s="18" t="s">
        <v>221</v>
      </c>
      <c r="B1042" s="18" t="s">
        <v>316</v>
      </c>
      <c r="C1042" s="18" t="n">
        <v>85</v>
      </c>
      <c r="D1042" s="30" t="n">
        <v>219.64</v>
      </c>
      <c r="E1042" s="18" t="n">
        <v>47</v>
      </c>
    </row>
    <row r="1043" customFormat="false" ht="15" hidden="false" customHeight="true" outlineLevel="0" collapsed="false">
      <c r="A1043" s="18" t="s">
        <v>221</v>
      </c>
      <c r="B1043" s="18" t="s">
        <v>317</v>
      </c>
      <c r="C1043" s="18" t="n">
        <v>78</v>
      </c>
      <c r="D1043" s="30" t="n">
        <v>196.82</v>
      </c>
      <c r="E1043" s="18" t="n">
        <v>48</v>
      </c>
    </row>
    <row r="1044" customFormat="false" ht="15" hidden="false" customHeight="true" outlineLevel="0" collapsed="false">
      <c r="A1044" s="18" t="s">
        <v>221</v>
      </c>
      <c r="B1044" s="18" t="s">
        <v>318</v>
      </c>
      <c r="C1044" s="18" t="n">
        <v>71</v>
      </c>
      <c r="D1044" s="30" t="n">
        <v>175.83</v>
      </c>
      <c r="E1044" s="18" t="n">
        <v>49</v>
      </c>
    </row>
    <row r="1045" customFormat="false" ht="15" hidden="false" customHeight="true" outlineLevel="0" collapsed="false">
      <c r="A1045" s="18" t="s">
        <v>221</v>
      </c>
      <c r="B1045" s="18" t="s">
        <v>319</v>
      </c>
      <c r="C1045" s="18" t="n">
        <v>93</v>
      </c>
      <c r="D1045" s="30" t="n">
        <v>234.34</v>
      </c>
      <c r="E1045" s="18" t="n">
        <v>50</v>
      </c>
    </row>
    <row r="1046" customFormat="false" ht="15" hidden="false" customHeight="true" outlineLevel="0" collapsed="false">
      <c r="A1046" s="18" t="s">
        <v>221</v>
      </c>
      <c r="B1046" s="18" t="s">
        <v>320</v>
      </c>
      <c r="C1046" s="18" t="n">
        <v>86</v>
      </c>
      <c r="D1046" s="30" t="n">
        <v>219.1</v>
      </c>
      <c r="E1046" s="18" t="n">
        <v>51</v>
      </c>
    </row>
    <row r="1047" customFormat="false" ht="15" hidden="false" customHeight="true" outlineLevel="0" collapsed="false">
      <c r="A1047" s="18" t="s">
        <v>221</v>
      </c>
      <c r="B1047" s="18" t="s">
        <v>321</v>
      </c>
      <c r="C1047" s="18" t="n">
        <v>105</v>
      </c>
      <c r="D1047" s="30" t="n">
        <v>269.83</v>
      </c>
      <c r="E1047" s="18" t="n">
        <v>52</v>
      </c>
    </row>
    <row r="1048" customFormat="false" ht="15" hidden="false" customHeight="true" outlineLevel="0" collapsed="false">
      <c r="A1048" s="18" t="s">
        <v>223</v>
      </c>
      <c r="B1048" s="18" t="s">
        <v>270</v>
      </c>
      <c r="C1048" s="18" t="n">
        <v>68</v>
      </c>
      <c r="D1048" s="30" t="n">
        <v>116.59</v>
      </c>
      <c r="E1048" s="18" t="n">
        <v>1</v>
      </c>
    </row>
    <row r="1049" customFormat="false" ht="15" hidden="false" customHeight="true" outlineLevel="0" collapsed="false">
      <c r="A1049" s="18" t="s">
        <v>223</v>
      </c>
      <c r="B1049" s="18" t="s">
        <v>271</v>
      </c>
      <c r="C1049" s="18" t="n">
        <v>86</v>
      </c>
      <c r="D1049" s="30" t="n">
        <v>145.5</v>
      </c>
      <c r="E1049" s="18" t="n">
        <v>2</v>
      </c>
    </row>
    <row r="1050" customFormat="false" ht="15" hidden="false" customHeight="true" outlineLevel="0" collapsed="false">
      <c r="A1050" s="18" t="s">
        <v>223</v>
      </c>
      <c r="B1050" s="18" t="s">
        <v>272</v>
      </c>
      <c r="C1050" s="18" t="n">
        <v>63</v>
      </c>
      <c r="D1050" s="30" t="n">
        <v>104.51</v>
      </c>
      <c r="E1050" s="18" t="n">
        <v>3</v>
      </c>
    </row>
    <row r="1051" customFormat="false" ht="15" hidden="false" customHeight="true" outlineLevel="0" collapsed="false">
      <c r="A1051" s="18" t="s">
        <v>223</v>
      </c>
      <c r="B1051" s="18" t="s">
        <v>273</v>
      </c>
      <c r="C1051" s="18" t="n">
        <v>72</v>
      </c>
      <c r="D1051" s="30" t="n">
        <v>124.87</v>
      </c>
      <c r="E1051" s="18" t="n">
        <v>4</v>
      </c>
    </row>
    <row r="1052" customFormat="false" ht="15" hidden="false" customHeight="true" outlineLevel="0" collapsed="false">
      <c r="A1052" s="18" t="s">
        <v>223</v>
      </c>
      <c r="B1052" s="18" t="s">
        <v>274</v>
      </c>
      <c r="C1052" s="18" t="n">
        <v>86</v>
      </c>
      <c r="D1052" s="30" t="n">
        <v>143.8</v>
      </c>
      <c r="E1052" s="18" t="n">
        <v>5</v>
      </c>
    </row>
    <row r="1053" customFormat="false" ht="15" hidden="false" customHeight="true" outlineLevel="0" collapsed="false">
      <c r="A1053" s="18" t="s">
        <v>223</v>
      </c>
      <c r="B1053" s="18" t="s">
        <v>275</v>
      </c>
      <c r="C1053" s="18" t="n">
        <v>83</v>
      </c>
      <c r="D1053" s="30" t="n">
        <v>138.69</v>
      </c>
      <c r="E1053" s="18" t="n">
        <v>6</v>
      </c>
    </row>
    <row r="1054" customFormat="false" ht="15" hidden="false" customHeight="true" outlineLevel="0" collapsed="false">
      <c r="A1054" s="18" t="s">
        <v>223</v>
      </c>
      <c r="B1054" s="18" t="s">
        <v>276</v>
      </c>
      <c r="C1054" s="18" t="n">
        <v>87</v>
      </c>
      <c r="D1054" s="30" t="n">
        <v>148.46</v>
      </c>
      <c r="E1054" s="18" t="n">
        <v>7</v>
      </c>
    </row>
    <row r="1055" customFormat="false" ht="15" hidden="false" customHeight="true" outlineLevel="0" collapsed="false">
      <c r="A1055" s="18" t="s">
        <v>223</v>
      </c>
      <c r="B1055" s="18" t="s">
        <v>277</v>
      </c>
      <c r="C1055" s="18" t="n">
        <v>100</v>
      </c>
      <c r="D1055" s="30" t="n">
        <v>171.29</v>
      </c>
      <c r="E1055" s="18" t="n">
        <v>8</v>
      </c>
    </row>
    <row r="1056" customFormat="false" ht="15" hidden="false" customHeight="true" outlineLevel="0" collapsed="false">
      <c r="A1056" s="18" t="s">
        <v>223</v>
      </c>
      <c r="B1056" s="18" t="s">
        <v>278</v>
      </c>
      <c r="C1056" s="18" t="n">
        <v>87</v>
      </c>
      <c r="D1056" s="30" t="n">
        <v>144.8</v>
      </c>
      <c r="E1056" s="18" t="n">
        <v>9</v>
      </c>
    </row>
    <row r="1057" customFormat="false" ht="15" hidden="false" customHeight="true" outlineLevel="0" collapsed="false">
      <c r="A1057" s="18" t="s">
        <v>223</v>
      </c>
      <c r="B1057" s="18" t="s">
        <v>279</v>
      </c>
      <c r="C1057" s="18" t="n">
        <v>94</v>
      </c>
      <c r="D1057" s="30" t="n">
        <v>163.66</v>
      </c>
      <c r="E1057" s="18" t="n">
        <v>10</v>
      </c>
    </row>
    <row r="1058" customFormat="false" ht="15" hidden="false" customHeight="true" outlineLevel="0" collapsed="false">
      <c r="A1058" s="18" t="s">
        <v>223</v>
      </c>
      <c r="B1058" s="18" t="s">
        <v>280</v>
      </c>
      <c r="C1058" s="18" t="n">
        <v>79</v>
      </c>
      <c r="D1058" s="30" t="n">
        <v>135.36</v>
      </c>
      <c r="E1058" s="18" t="n">
        <v>11</v>
      </c>
    </row>
    <row r="1059" customFormat="false" ht="15" hidden="false" customHeight="true" outlineLevel="0" collapsed="false">
      <c r="A1059" s="18" t="s">
        <v>223</v>
      </c>
      <c r="B1059" s="18" t="s">
        <v>281</v>
      </c>
      <c r="C1059" s="18" t="n">
        <v>64</v>
      </c>
      <c r="D1059" s="30" t="n">
        <v>109.71</v>
      </c>
      <c r="E1059" s="18" t="n">
        <v>12</v>
      </c>
    </row>
    <row r="1060" customFormat="false" ht="15" hidden="false" customHeight="true" outlineLevel="0" collapsed="false">
      <c r="A1060" s="18" t="s">
        <v>223</v>
      </c>
      <c r="B1060" s="18" t="s">
        <v>282</v>
      </c>
      <c r="C1060" s="18" t="n">
        <v>89</v>
      </c>
      <c r="D1060" s="30" t="n">
        <v>146.91</v>
      </c>
      <c r="E1060" s="18" t="n">
        <v>13</v>
      </c>
    </row>
    <row r="1061" customFormat="false" ht="15" hidden="false" customHeight="true" outlineLevel="0" collapsed="false">
      <c r="A1061" s="18" t="s">
        <v>223</v>
      </c>
      <c r="B1061" s="18" t="s">
        <v>283</v>
      </c>
      <c r="C1061" s="18" t="n">
        <v>95</v>
      </c>
      <c r="D1061" s="30" t="n">
        <v>162.33</v>
      </c>
      <c r="E1061" s="18" t="n">
        <v>14</v>
      </c>
    </row>
    <row r="1062" customFormat="false" ht="15" hidden="false" customHeight="true" outlineLevel="0" collapsed="false">
      <c r="A1062" s="18" t="s">
        <v>223</v>
      </c>
      <c r="B1062" s="18" t="s">
        <v>284</v>
      </c>
      <c r="C1062" s="18" t="n">
        <v>76</v>
      </c>
      <c r="D1062" s="30" t="n">
        <v>128.25</v>
      </c>
      <c r="E1062" s="18" t="n">
        <v>15</v>
      </c>
    </row>
    <row r="1063" customFormat="false" ht="15" hidden="false" customHeight="true" outlineLevel="0" collapsed="false">
      <c r="A1063" s="18" t="s">
        <v>223</v>
      </c>
      <c r="B1063" s="18" t="s">
        <v>285</v>
      </c>
      <c r="C1063" s="18" t="n">
        <v>69</v>
      </c>
      <c r="D1063" s="30" t="n">
        <v>117.37</v>
      </c>
      <c r="E1063" s="18" t="n">
        <v>16</v>
      </c>
    </row>
    <row r="1064" customFormat="false" ht="15" hidden="false" customHeight="true" outlineLevel="0" collapsed="false">
      <c r="A1064" s="18" t="s">
        <v>223</v>
      </c>
      <c r="B1064" s="18" t="s">
        <v>286</v>
      </c>
      <c r="C1064" s="18" t="n">
        <v>67</v>
      </c>
      <c r="D1064" s="30" t="n">
        <v>113.47</v>
      </c>
      <c r="E1064" s="18" t="n">
        <v>17</v>
      </c>
    </row>
    <row r="1065" customFormat="false" ht="15" hidden="false" customHeight="true" outlineLevel="0" collapsed="false">
      <c r="A1065" s="18" t="s">
        <v>223</v>
      </c>
      <c r="B1065" s="18" t="s">
        <v>287</v>
      </c>
      <c r="C1065" s="18" t="n">
        <v>75</v>
      </c>
      <c r="D1065" s="30" t="n">
        <v>125.59</v>
      </c>
      <c r="E1065" s="18" t="n">
        <v>18</v>
      </c>
    </row>
    <row r="1066" customFormat="false" ht="15" hidden="false" customHeight="true" outlineLevel="0" collapsed="false">
      <c r="A1066" s="18" t="s">
        <v>223</v>
      </c>
      <c r="B1066" s="18" t="s">
        <v>288</v>
      </c>
      <c r="C1066" s="18" t="n">
        <v>64</v>
      </c>
      <c r="D1066" s="30" t="n">
        <v>107.99</v>
      </c>
      <c r="E1066" s="18" t="n">
        <v>19</v>
      </c>
    </row>
    <row r="1067" customFormat="false" ht="15" hidden="false" customHeight="true" outlineLevel="0" collapsed="false">
      <c r="A1067" s="18" t="s">
        <v>223</v>
      </c>
      <c r="B1067" s="18" t="s">
        <v>289</v>
      </c>
      <c r="C1067" s="18" t="n">
        <v>67</v>
      </c>
      <c r="D1067" s="30" t="n">
        <v>111.66</v>
      </c>
      <c r="E1067" s="18" t="n">
        <v>20</v>
      </c>
    </row>
    <row r="1068" customFormat="false" ht="15" hidden="false" customHeight="true" outlineLevel="0" collapsed="false">
      <c r="A1068" s="18" t="s">
        <v>223</v>
      </c>
      <c r="B1068" s="18" t="s">
        <v>290</v>
      </c>
      <c r="C1068" s="18" t="n">
        <v>67</v>
      </c>
      <c r="D1068" s="30" t="n">
        <v>112.49</v>
      </c>
      <c r="E1068" s="18" t="n">
        <v>21</v>
      </c>
    </row>
    <row r="1069" customFormat="false" ht="15" hidden="false" customHeight="true" outlineLevel="0" collapsed="false">
      <c r="A1069" s="18" t="s">
        <v>223</v>
      </c>
      <c r="B1069" s="18" t="s">
        <v>291</v>
      </c>
      <c r="C1069" s="18" t="n">
        <v>72</v>
      </c>
      <c r="D1069" s="30" t="n">
        <v>122.39</v>
      </c>
      <c r="E1069" s="18" t="n">
        <v>22</v>
      </c>
    </row>
    <row r="1070" customFormat="false" ht="15" hidden="false" customHeight="true" outlineLevel="0" collapsed="false">
      <c r="A1070" s="18" t="s">
        <v>223</v>
      </c>
      <c r="B1070" s="18" t="s">
        <v>292</v>
      </c>
      <c r="C1070" s="18" t="n">
        <v>65</v>
      </c>
      <c r="D1070" s="30" t="n">
        <v>113.48</v>
      </c>
      <c r="E1070" s="18" t="n">
        <v>23</v>
      </c>
    </row>
    <row r="1071" customFormat="false" ht="15" hidden="false" customHeight="true" outlineLevel="0" collapsed="false">
      <c r="A1071" s="18" t="s">
        <v>223</v>
      </c>
      <c r="B1071" s="18" t="s">
        <v>293</v>
      </c>
      <c r="C1071" s="18" t="n">
        <v>65</v>
      </c>
      <c r="D1071" s="30" t="n">
        <v>111.78</v>
      </c>
      <c r="E1071" s="18" t="n">
        <v>24</v>
      </c>
    </row>
    <row r="1072" customFormat="false" ht="15" hidden="false" customHeight="true" outlineLevel="0" collapsed="false">
      <c r="A1072" s="18" t="s">
        <v>223</v>
      </c>
      <c r="B1072" s="18" t="s">
        <v>294</v>
      </c>
      <c r="C1072" s="18" t="n">
        <v>78</v>
      </c>
      <c r="D1072" s="30" t="n">
        <v>130.71</v>
      </c>
      <c r="E1072" s="18" t="n">
        <v>25</v>
      </c>
    </row>
    <row r="1073" customFormat="false" ht="15" hidden="false" customHeight="true" outlineLevel="0" collapsed="false">
      <c r="A1073" s="18" t="s">
        <v>223</v>
      </c>
      <c r="B1073" s="18" t="s">
        <v>295</v>
      </c>
      <c r="C1073" s="18" t="n">
        <v>88</v>
      </c>
      <c r="D1073" s="30" t="n">
        <v>145.39</v>
      </c>
      <c r="E1073" s="18" t="n">
        <v>26</v>
      </c>
    </row>
    <row r="1074" customFormat="false" ht="15" hidden="false" customHeight="true" outlineLevel="0" collapsed="false">
      <c r="A1074" s="18" t="s">
        <v>223</v>
      </c>
      <c r="B1074" s="18" t="s">
        <v>296</v>
      </c>
      <c r="C1074" s="18" t="n">
        <v>96</v>
      </c>
      <c r="D1074" s="30" t="n">
        <v>164.95</v>
      </c>
      <c r="E1074" s="18" t="n">
        <v>27</v>
      </c>
    </row>
    <row r="1075" customFormat="false" ht="15" hidden="false" customHeight="true" outlineLevel="0" collapsed="false">
      <c r="A1075" s="18" t="s">
        <v>223</v>
      </c>
      <c r="B1075" s="18" t="s">
        <v>297</v>
      </c>
      <c r="C1075" s="18" t="n">
        <v>105</v>
      </c>
      <c r="D1075" s="30" t="n">
        <v>178.68</v>
      </c>
      <c r="E1075" s="18" t="n">
        <v>28</v>
      </c>
    </row>
    <row r="1076" customFormat="false" ht="15" hidden="false" customHeight="true" outlineLevel="0" collapsed="false">
      <c r="A1076" s="18" t="s">
        <v>223</v>
      </c>
      <c r="B1076" s="18" t="s">
        <v>298</v>
      </c>
      <c r="C1076" s="18" t="n">
        <v>104</v>
      </c>
      <c r="D1076" s="30" t="n">
        <v>175.7</v>
      </c>
      <c r="E1076" s="18" t="n">
        <v>29</v>
      </c>
    </row>
    <row r="1077" customFormat="false" ht="15" hidden="false" customHeight="true" outlineLevel="0" collapsed="false">
      <c r="A1077" s="18" t="s">
        <v>223</v>
      </c>
      <c r="B1077" s="18" t="s">
        <v>299</v>
      </c>
      <c r="C1077" s="18" t="n">
        <v>91</v>
      </c>
      <c r="D1077" s="30" t="n">
        <v>150.99</v>
      </c>
      <c r="E1077" s="18" t="n">
        <v>30</v>
      </c>
    </row>
    <row r="1078" customFormat="false" ht="15" hidden="false" customHeight="true" outlineLevel="0" collapsed="false">
      <c r="A1078" s="18" t="s">
        <v>223</v>
      </c>
      <c r="B1078" s="18" t="s">
        <v>300</v>
      </c>
      <c r="C1078" s="18" t="n">
        <v>105</v>
      </c>
      <c r="D1078" s="30" t="n">
        <v>183.81</v>
      </c>
      <c r="E1078" s="18" t="n">
        <v>31</v>
      </c>
    </row>
    <row r="1079" customFormat="false" ht="15" hidden="false" customHeight="true" outlineLevel="0" collapsed="false">
      <c r="A1079" s="18" t="s">
        <v>223</v>
      </c>
      <c r="B1079" s="18" t="s">
        <v>301</v>
      </c>
      <c r="C1079" s="18" t="n">
        <v>106</v>
      </c>
      <c r="D1079" s="30" t="n">
        <v>180.82</v>
      </c>
      <c r="E1079" s="18" t="n">
        <v>32</v>
      </c>
    </row>
    <row r="1080" customFormat="false" ht="15" hidden="false" customHeight="true" outlineLevel="0" collapsed="false">
      <c r="A1080" s="18" t="s">
        <v>223</v>
      </c>
      <c r="B1080" s="18" t="s">
        <v>302</v>
      </c>
      <c r="C1080" s="18" t="n">
        <v>107</v>
      </c>
      <c r="D1080" s="30" t="n">
        <v>185.47</v>
      </c>
      <c r="E1080" s="18" t="n">
        <v>33</v>
      </c>
    </row>
    <row r="1081" customFormat="false" ht="15" hidden="false" customHeight="true" outlineLevel="0" collapsed="false">
      <c r="A1081" s="18" t="s">
        <v>223</v>
      </c>
      <c r="B1081" s="18" t="s">
        <v>303</v>
      </c>
      <c r="C1081" s="18" t="n">
        <v>114</v>
      </c>
      <c r="D1081" s="30" t="n">
        <v>195.19</v>
      </c>
      <c r="E1081" s="18" t="n">
        <v>34</v>
      </c>
    </row>
    <row r="1082" customFormat="false" ht="15" hidden="false" customHeight="true" outlineLevel="0" collapsed="false">
      <c r="A1082" s="18" t="s">
        <v>223</v>
      </c>
      <c r="B1082" s="18" t="s">
        <v>304</v>
      </c>
      <c r="C1082" s="18" t="n">
        <v>104</v>
      </c>
      <c r="D1082" s="30" t="n">
        <v>180.61</v>
      </c>
      <c r="E1082" s="18" t="n">
        <v>35</v>
      </c>
    </row>
    <row r="1083" customFormat="false" ht="15" hidden="false" customHeight="true" outlineLevel="0" collapsed="false">
      <c r="A1083" s="18" t="s">
        <v>223</v>
      </c>
      <c r="B1083" s="18" t="s">
        <v>305</v>
      </c>
      <c r="C1083" s="18" t="n">
        <v>102</v>
      </c>
      <c r="D1083" s="30" t="n">
        <v>176.9</v>
      </c>
      <c r="E1083" s="18" t="n">
        <v>36</v>
      </c>
    </row>
    <row r="1084" customFormat="false" ht="15" hidden="false" customHeight="true" outlineLevel="0" collapsed="false">
      <c r="A1084" s="18" t="s">
        <v>223</v>
      </c>
      <c r="B1084" s="18" t="s">
        <v>306</v>
      </c>
      <c r="C1084" s="18" t="n">
        <v>125</v>
      </c>
      <c r="D1084" s="30" t="n">
        <v>208.61</v>
      </c>
      <c r="E1084" s="18" t="n">
        <v>37</v>
      </c>
    </row>
    <row r="1085" customFormat="false" ht="15" hidden="false" customHeight="true" outlineLevel="0" collapsed="false">
      <c r="A1085" s="18" t="s">
        <v>223</v>
      </c>
      <c r="B1085" s="18" t="s">
        <v>307</v>
      </c>
      <c r="C1085" s="18" t="n">
        <v>97</v>
      </c>
      <c r="D1085" s="30" t="n">
        <v>164.36</v>
      </c>
      <c r="E1085" s="18" t="n">
        <v>38</v>
      </c>
    </row>
    <row r="1086" customFormat="false" ht="15" hidden="false" customHeight="true" outlineLevel="0" collapsed="false">
      <c r="A1086" s="18" t="s">
        <v>223</v>
      </c>
      <c r="B1086" s="18" t="s">
        <v>308</v>
      </c>
      <c r="C1086" s="18" t="n">
        <v>106</v>
      </c>
      <c r="D1086" s="30" t="n">
        <v>176.59</v>
      </c>
      <c r="E1086" s="18" t="n">
        <v>39</v>
      </c>
    </row>
    <row r="1087" customFormat="false" ht="15" hidden="false" customHeight="true" outlineLevel="0" collapsed="false">
      <c r="A1087" s="18" t="s">
        <v>223</v>
      </c>
      <c r="B1087" s="18" t="s">
        <v>309</v>
      </c>
      <c r="C1087" s="18" t="n">
        <v>102</v>
      </c>
      <c r="D1087" s="30" t="n">
        <v>172.38</v>
      </c>
      <c r="E1087" s="18" t="n">
        <v>40</v>
      </c>
    </row>
    <row r="1088" customFormat="false" ht="15" hidden="false" customHeight="true" outlineLevel="0" collapsed="false">
      <c r="A1088" s="18" t="s">
        <v>223</v>
      </c>
      <c r="B1088" s="18" t="s">
        <v>310</v>
      </c>
      <c r="C1088" s="18" t="n">
        <v>87</v>
      </c>
      <c r="D1088" s="30" t="n">
        <v>151.39</v>
      </c>
      <c r="E1088" s="18" t="n">
        <v>41</v>
      </c>
    </row>
    <row r="1089" customFormat="false" ht="15" hidden="false" customHeight="true" outlineLevel="0" collapsed="false">
      <c r="A1089" s="18" t="s">
        <v>223</v>
      </c>
      <c r="B1089" s="18" t="s">
        <v>311</v>
      </c>
      <c r="C1089" s="18" t="n">
        <v>79</v>
      </c>
      <c r="D1089" s="30" t="n">
        <v>131.27</v>
      </c>
      <c r="E1089" s="18" t="n">
        <v>42</v>
      </c>
    </row>
    <row r="1090" customFormat="false" ht="15" hidden="false" customHeight="true" outlineLevel="0" collapsed="false">
      <c r="A1090" s="18" t="s">
        <v>223</v>
      </c>
      <c r="B1090" s="18" t="s">
        <v>312</v>
      </c>
      <c r="C1090" s="18" t="n">
        <v>68</v>
      </c>
      <c r="D1090" s="30" t="n">
        <v>118.47</v>
      </c>
      <c r="E1090" s="18" t="n">
        <v>43</v>
      </c>
    </row>
    <row r="1091" customFormat="false" ht="15" hidden="false" customHeight="true" outlineLevel="0" collapsed="false">
      <c r="A1091" s="18" t="s">
        <v>223</v>
      </c>
      <c r="B1091" s="18" t="s">
        <v>313</v>
      </c>
      <c r="C1091" s="18" t="n">
        <v>59</v>
      </c>
      <c r="D1091" s="30" t="n">
        <v>99.74</v>
      </c>
      <c r="E1091" s="18" t="n">
        <v>44</v>
      </c>
    </row>
    <row r="1092" customFormat="false" ht="15" hidden="false" customHeight="true" outlineLevel="0" collapsed="false">
      <c r="A1092" s="18" t="s">
        <v>223</v>
      </c>
      <c r="B1092" s="18" t="s">
        <v>314</v>
      </c>
      <c r="C1092" s="18" t="n">
        <v>77</v>
      </c>
      <c r="D1092" s="30" t="n">
        <v>134.44</v>
      </c>
      <c r="E1092" s="18" t="n">
        <v>45</v>
      </c>
    </row>
    <row r="1093" customFormat="false" ht="15" hidden="false" customHeight="true" outlineLevel="0" collapsed="false">
      <c r="A1093" s="18" t="s">
        <v>223</v>
      </c>
      <c r="B1093" s="18" t="s">
        <v>315</v>
      </c>
      <c r="C1093" s="18" t="n">
        <v>74</v>
      </c>
      <c r="D1093" s="30" t="n">
        <v>127.06</v>
      </c>
      <c r="E1093" s="18" t="n">
        <v>46</v>
      </c>
    </row>
    <row r="1094" customFormat="false" ht="15" hidden="false" customHeight="true" outlineLevel="0" collapsed="false">
      <c r="A1094" s="18" t="s">
        <v>223</v>
      </c>
      <c r="B1094" s="18" t="s">
        <v>316</v>
      </c>
      <c r="C1094" s="18" t="n">
        <v>77</v>
      </c>
      <c r="D1094" s="30" t="n">
        <v>132.89</v>
      </c>
      <c r="E1094" s="18" t="n">
        <v>47</v>
      </c>
    </row>
    <row r="1095" customFormat="false" ht="15" hidden="false" customHeight="true" outlineLevel="0" collapsed="false">
      <c r="A1095" s="18" t="s">
        <v>223</v>
      </c>
      <c r="B1095" s="18" t="s">
        <v>317</v>
      </c>
      <c r="C1095" s="18" t="n">
        <v>68</v>
      </c>
      <c r="D1095" s="30" t="n">
        <v>113.13</v>
      </c>
      <c r="E1095" s="18" t="n">
        <v>48</v>
      </c>
    </row>
    <row r="1096" customFormat="false" ht="15" hidden="false" customHeight="true" outlineLevel="0" collapsed="false">
      <c r="A1096" s="18" t="s">
        <v>223</v>
      </c>
      <c r="B1096" s="18" t="s">
        <v>318</v>
      </c>
      <c r="C1096" s="18" t="n">
        <v>93</v>
      </c>
      <c r="D1096" s="30" t="n">
        <v>155.56</v>
      </c>
      <c r="E1096" s="18" t="n">
        <v>49</v>
      </c>
    </row>
    <row r="1097" customFormat="false" ht="15" hidden="false" customHeight="true" outlineLevel="0" collapsed="false">
      <c r="A1097" s="18" t="s">
        <v>223</v>
      </c>
      <c r="B1097" s="18" t="s">
        <v>319</v>
      </c>
      <c r="C1097" s="18" t="n">
        <v>84</v>
      </c>
      <c r="D1097" s="30" t="n">
        <v>141.53</v>
      </c>
      <c r="E1097" s="18" t="n">
        <v>50</v>
      </c>
    </row>
    <row r="1098" customFormat="false" ht="15" hidden="false" customHeight="true" outlineLevel="0" collapsed="false">
      <c r="A1098" s="18" t="s">
        <v>223</v>
      </c>
      <c r="B1098" s="18" t="s">
        <v>320</v>
      </c>
      <c r="C1098" s="18" t="n">
        <v>83</v>
      </c>
      <c r="D1098" s="30" t="n">
        <v>143.8</v>
      </c>
      <c r="E1098" s="18" t="n">
        <v>51</v>
      </c>
    </row>
    <row r="1099" customFormat="false" ht="15" hidden="false" customHeight="true" outlineLevel="0" collapsed="false">
      <c r="A1099" s="18" t="s">
        <v>223</v>
      </c>
      <c r="B1099" s="18" t="s">
        <v>321</v>
      </c>
      <c r="C1099" s="18" t="n">
        <v>67</v>
      </c>
      <c r="D1099" s="30" t="n">
        <v>115.76</v>
      </c>
      <c r="E1099" s="18" t="n">
        <v>52</v>
      </c>
    </row>
    <row r="1100" customFormat="false" ht="15" hidden="false" customHeight="true" outlineLevel="0" collapsed="false">
      <c r="A1100" s="18" t="s">
        <v>226</v>
      </c>
      <c r="B1100" s="18" t="s">
        <v>270</v>
      </c>
      <c r="C1100" s="18" t="n">
        <v>102</v>
      </c>
      <c r="D1100" s="30" t="n">
        <v>258.02</v>
      </c>
      <c r="E1100" s="18" t="n">
        <v>1</v>
      </c>
    </row>
    <row r="1101" customFormat="false" ht="15" hidden="false" customHeight="true" outlineLevel="0" collapsed="false">
      <c r="A1101" s="18" t="s">
        <v>226</v>
      </c>
      <c r="B1101" s="18" t="s">
        <v>271</v>
      </c>
      <c r="C1101" s="18" t="n">
        <v>75</v>
      </c>
      <c r="D1101" s="30" t="n">
        <v>190.36</v>
      </c>
      <c r="E1101" s="18" t="n">
        <v>2</v>
      </c>
    </row>
    <row r="1102" customFormat="false" ht="15" hidden="false" customHeight="true" outlineLevel="0" collapsed="false">
      <c r="A1102" s="18" t="s">
        <v>226</v>
      </c>
      <c r="B1102" s="18" t="s">
        <v>272</v>
      </c>
      <c r="C1102" s="18" t="n">
        <v>117</v>
      </c>
      <c r="D1102" s="30" t="n">
        <v>296.48</v>
      </c>
      <c r="E1102" s="18" t="n">
        <v>3</v>
      </c>
    </row>
    <row r="1103" customFormat="false" ht="15" hidden="false" customHeight="true" outlineLevel="0" collapsed="false">
      <c r="A1103" s="18" t="s">
        <v>226</v>
      </c>
      <c r="B1103" s="18" t="s">
        <v>273</v>
      </c>
      <c r="C1103" s="18" t="n">
        <v>58</v>
      </c>
      <c r="D1103" s="30" t="n">
        <v>142.59</v>
      </c>
      <c r="E1103" s="18" t="n">
        <v>4</v>
      </c>
    </row>
    <row r="1104" customFormat="false" ht="15" hidden="false" customHeight="true" outlineLevel="0" collapsed="false">
      <c r="A1104" s="18" t="s">
        <v>226</v>
      </c>
      <c r="B1104" s="18" t="s">
        <v>274</v>
      </c>
      <c r="C1104" s="18" t="n">
        <v>94</v>
      </c>
      <c r="D1104" s="30" t="n">
        <v>229.99</v>
      </c>
      <c r="E1104" s="18" t="n">
        <v>5</v>
      </c>
    </row>
    <row r="1105" customFormat="false" ht="15" hidden="false" customHeight="true" outlineLevel="0" collapsed="false">
      <c r="A1105" s="18" t="s">
        <v>226</v>
      </c>
      <c r="B1105" s="18" t="s">
        <v>275</v>
      </c>
      <c r="C1105" s="18" t="n">
        <v>97</v>
      </c>
      <c r="D1105" s="30" t="n">
        <v>235.87</v>
      </c>
      <c r="E1105" s="18" t="n">
        <v>6</v>
      </c>
    </row>
    <row r="1106" customFormat="false" ht="15" hidden="false" customHeight="true" outlineLevel="0" collapsed="false">
      <c r="A1106" s="18" t="s">
        <v>226</v>
      </c>
      <c r="B1106" s="18" t="s">
        <v>276</v>
      </c>
      <c r="C1106" s="18" t="n">
        <v>102</v>
      </c>
      <c r="D1106" s="30" t="n">
        <v>251.89</v>
      </c>
      <c r="E1106" s="18" t="n">
        <v>7</v>
      </c>
    </row>
    <row r="1107" customFormat="false" ht="15" hidden="false" customHeight="true" outlineLevel="0" collapsed="false">
      <c r="A1107" s="18" t="s">
        <v>226</v>
      </c>
      <c r="B1107" s="18" t="s">
        <v>277</v>
      </c>
      <c r="C1107" s="18" t="n">
        <v>90</v>
      </c>
      <c r="D1107" s="30" t="n">
        <v>224.04</v>
      </c>
      <c r="E1107" s="18" t="n">
        <v>8</v>
      </c>
    </row>
    <row r="1108" customFormat="false" ht="15" hidden="false" customHeight="true" outlineLevel="0" collapsed="false">
      <c r="A1108" s="18" t="s">
        <v>226</v>
      </c>
      <c r="B1108" s="18" t="s">
        <v>278</v>
      </c>
      <c r="C1108" s="18" t="n">
        <v>94</v>
      </c>
      <c r="D1108" s="30" t="n">
        <v>231.19</v>
      </c>
      <c r="E1108" s="18" t="n">
        <v>9</v>
      </c>
    </row>
    <row r="1109" customFormat="false" ht="15" hidden="false" customHeight="true" outlineLevel="0" collapsed="false">
      <c r="A1109" s="18" t="s">
        <v>226</v>
      </c>
      <c r="B1109" s="18" t="s">
        <v>279</v>
      </c>
      <c r="C1109" s="18" t="n">
        <v>59</v>
      </c>
      <c r="D1109" s="30" t="n">
        <v>143.19</v>
      </c>
      <c r="E1109" s="18" t="n">
        <v>10</v>
      </c>
    </row>
    <row r="1110" customFormat="false" ht="15" hidden="false" customHeight="true" outlineLevel="0" collapsed="false">
      <c r="A1110" s="18" t="s">
        <v>226</v>
      </c>
      <c r="B1110" s="18" t="s">
        <v>280</v>
      </c>
      <c r="C1110" s="18" t="n">
        <v>113</v>
      </c>
      <c r="D1110" s="30" t="n">
        <v>274.06</v>
      </c>
      <c r="E1110" s="18" t="n">
        <v>11</v>
      </c>
    </row>
    <row r="1111" customFormat="false" ht="15" hidden="false" customHeight="true" outlineLevel="0" collapsed="false">
      <c r="A1111" s="18" t="s">
        <v>226</v>
      </c>
      <c r="B1111" s="18" t="s">
        <v>281</v>
      </c>
      <c r="C1111" s="18" t="n">
        <v>99</v>
      </c>
      <c r="D1111" s="30" t="n">
        <v>248.34</v>
      </c>
      <c r="E1111" s="18" t="n">
        <v>12</v>
      </c>
    </row>
    <row r="1112" customFormat="false" ht="15" hidden="false" customHeight="true" outlineLevel="0" collapsed="false">
      <c r="A1112" s="18" t="s">
        <v>226</v>
      </c>
      <c r="B1112" s="18" t="s">
        <v>282</v>
      </c>
      <c r="C1112" s="18" t="n">
        <v>81</v>
      </c>
      <c r="D1112" s="30" t="n">
        <v>204.43</v>
      </c>
      <c r="E1112" s="18" t="n">
        <v>13</v>
      </c>
    </row>
    <row r="1113" customFormat="false" ht="15" hidden="false" customHeight="true" outlineLevel="0" collapsed="false">
      <c r="A1113" s="18" t="s">
        <v>226</v>
      </c>
      <c r="B1113" s="18" t="s">
        <v>283</v>
      </c>
      <c r="C1113" s="18" t="n">
        <v>90</v>
      </c>
      <c r="D1113" s="30" t="n">
        <v>227.39</v>
      </c>
      <c r="E1113" s="18" t="n">
        <v>14</v>
      </c>
    </row>
    <row r="1114" customFormat="false" ht="15" hidden="false" customHeight="true" outlineLevel="0" collapsed="false">
      <c r="A1114" s="18" t="s">
        <v>226</v>
      </c>
      <c r="B1114" s="18" t="s">
        <v>284</v>
      </c>
      <c r="C1114" s="18" t="n">
        <v>94</v>
      </c>
      <c r="D1114" s="30" t="n">
        <v>236.34</v>
      </c>
      <c r="E1114" s="18" t="n">
        <v>15</v>
      </c>
    </row>
    <row r="1115" customFormat="false" ht="15" hidden="false" customHeight="true" outlineLevel="0" collapsed="false">
      <c r="A1115" s="18" t="s">
        <v>226</v>
      </c>
      <c r="B1115" s="18" t="s">
        <v>285</v>
      </c>
      <c r="C1115" s="18" t="n">
        <v>74</v>
      </c>
      <c r="D1115" s="30" t="n">
        <v>186.58</v>
      </c>
      <c r="E1115" s="18" t="n">
        <v>16</v>
      </c>
    </row>
    <row r="1116" customFormat="false" ht="15" hidden="false" customHeight="true" outlineLevel="0" collapsed="false">
      <c r="A1116" s="18" t="s">
        <v>226</v>
      </c>
      <c r="B1116" s="18" t="s">
        <v>286</v>
      </c>
      <c r="C1116" s="18" t="n">
        <v>98</v>
      </c>
      <c r="D1116" s="30" t="n">
        <v>240.9</v>
      </c>
      <c r="E1116" s="18" t="n">
        <v>17</v>
      </c>
    </row>
    <row r="1117" customFormat="false" ht="15" hidden="false" customHeight="true" outlineLevel="0" collapsed="false">
      <c r="A1117" s="18" t="s">
        <v>226</v>
      </c>
      <c r="B1117" s="18" t="s">
        <v>287</v>
      </c>
      <c r="C1117" s="18" t="n">
        <v>69</v>
      </c>
      <c r="D1117" s="30" t="n">
        <v>172.93</v>
      </c>
      <c r="E1117" s="18" t="n">
        <v>18</v>
      </c>
    </row>
    <row r="1118" customFormat="false" ht="15" hidden="false" customHeight="true" outlineLevel="0" collapsed="false">
      <c r="A1118" s="18" t="s">
        <v>226</v>
      </c>
      <c r="B1118" s="18" t="s">
        <v>288</v>
      </c>
      <c r="C1118" s="18" t="n">
        <v>41</v>
      </c>
      <c r="D1118" s="30" t="n">
        <v>103.86</v>
      </c>
      <c r="E1118" s="18" t="n">
        <v>19</v>
      </c>
    </row>
    <row r="1119" customFormat="false" ht="15" hidden="false" customHeight="true" outlineLevel="0" collapsed="false">
      <c r="A1119" s="18" t="s">
        <v>226</v>
      </c>
      <c r="B1119" s="18" t="s">
        <v>289</v>
      </c>
      <c r="C1119" s="18" t="n">
        <v>59</v>
      </c>
      <c r="D1119" s="30" t="n">
        <v>146.3</v>
      </c>
      <c r="E1119" s="18" t="n">
        <v>20</v>
      </c>
    </row>
    <row r="1120" customFormat="false" ht="15" hidden="false" customHeight="true" outlineLevel="0" collapsed="false">
      <c r="A1120" s="18" t="s">
        <v>226</v>
      </c>
      <c r="B1120" s="18" t="s">
        <v>290</v>
      </c>
      <c r="C1120" s="18" t="n">
        <v>71</v>
      </c>
      <c r="D1120" s="30" t="n">
        <v>172.48</v>
      </c>
      <c r="E1120" s="18" t="n">
        <v>21</v>
      </c>
    </row>
    <row r="1121" customFormat="false" ht="15" hidden="false" customHeight="true" outlineLevel="0" collapsed="false">
      <c r="A1121" s="18" t="s">
        <v>226</v>
      </c>
      <c r="B1121" s="18" t="s">
        <v>291</v>
      </c>
      <c r="C1121" s="18" t="n">
        <v>78</v>
      </c>
      <c r="D1121" s="30" t="n">
        <v>191.46</v>
      </c>
      <c r="E1121" s="18" t="n">
        <v>22</v>
      </c>
    </row>
    <row r="1122" customFormat="false" ht="15" hidden="false" customHeight="true" outlineLevel="0" collapsed="false">
      <c r="A1122" s="18" t="s">
        <v>226</v>
      </c>
      <c r="B1122" s="18" t="s">
        <v>292</v>
      </c>
      <c r="C1122" s="18" t="n">
        <v>60</v>
      </c>
      <c r="D1122" s="30" t="n">
        <v>145.94</v>
      </c>
      <c r="E1122" s="18" t="n">
        <v>23</v>
      </c>
    </row>
    <row r="1123" customFormat="false" ht="15" hidden="false" customHeight="true" outlineLevel="0" collapsed="false">
      <c r="A1123" s="18" t="s">
        <v>226</v>
      </c>
      <c r="B1123" s="18" t="s">
        <v>293</v>
      </c>
      <c r="C1123" s="18" t="n">
        <v>43</v>
      </c>
      <c r="D1123" s="30" t="n">
        <v>108.16</v>
      </c>
      <c r="E1123" s="18" t="n">
        <v>24</v>
      </c>
    </row>
    <row r="1124" customFormat="false" ht="15" hidden="false" customHeight="true" outlineLevel="0" collapsed="false">
      <c r="A1124" s="18" t="s">
        <v>226</v>
      </c>
      <c r="B1124" s="18" t="s">
        <v>294</v>
      </c>
      <c r="C1124" s="18" t="n">
        <v>58</v>
      </c>
      <c r="D1124" s="30" t="n">
        <v>139.56</v>
      </c>
      <c r="E1124" s="18" t="n">
        <v>25</v>
      </c>
    </row>
    <row r="1125" customFormat="false" ht="15" hidden="false" customHeight="true" outlineLevel="0" collapsed="false">
      <c r="A1125" s="18" t="s">
        <v>226</v>
      </c>
      <c r="B1125" s="18" t="s">
        <v>295</v>
      </c>
      <c r="C1125" s="18" t="n">
        <v>39</v>
      </c>
      <c r="D1125" s="30" t="n">
        <v>96.14</v>
      </c>
      <c r="E1125" s="18" t="n">
        <v>26</v>
      </c>
    </row>
    <row r="1126" customFormat="false" ht="15" hidden="false" customHeight="true" outlineLevel="0" collapsed="false">
      <c r="A1126" s="18" t="s">
        <v>226</v>
      </c>
      <c r="B1126" s="18" t="s">
        <v>296</v>
      </c>
      <c r="C1126" s="18" t="n">
        <v>86</v>
      </c>
      <c r="D1126" s="30" t="n">
        <v>211.75</v>
      </c>
      <c r="E1126" s="18" t="n">
        <v>27</v>
      </c>
    </row>
    <row r="1127" customFormat="false" ht="15" hidden="false" customHeight="true" outlineLevel="0" collapsed="false">
      <c r="A1127" s="18" t="s">
        <v>226</v>
      </c>
      <c r="B1127" s="18" t="s">
        <v>297</v>
      </c>
      <c r="C1127" s="18" t="n">
        <v>64</v>
      </c>
      <c r="D1127" s="30" t="n">
        <v>157.81</v>
      </c>
      <c r="E1127" s="18" t="n">
        <v>28</v>
      </c>
    </row>
    <row r="1128" customFormat="false" ht="15" hidden="false" customHeight="true" outlineLevel="0" collapsed="false">
      <c r="A1128" s="18" t="s">
        <v>226</v>
      </c>
      <c r="B1128" s="18" t="s">
        <v>298</v>
      </c>
      <c r="C1128" s="18" t="n">
        <v>60</v>
      </c>
      <c r="D1128" s="30" t="n">
        <v>148.21</v>
      </c>
      <c r="E1128" s="18" t="n">
        <v>29</v>
      </c>
    </row>
    <row r="1129" customFormat="false" ht="15" hidden="false" customHeight="true" outlineLevel="0" collapsed="false">
      <c r="A1129" s="18" t="s">
        <v>226</v>
      </c>
      <c r="B1129" s="18" t="s">
        <v>299</v>
      </c>
      <c r="C1129" s="18" t="n">
        <v>101</v>
      </c>
      <c r="D1129" s="30" t="n">
        <v>254.23</v>
      </c>
      <c r="E1129" s="18" t="n">
        <v>30</v>
      </c>
    </row>
    <row r="1130" customFormat="false" ht="15" hidden="false" customHeight="true" outlineLevel="0" collapsed="false">
      <c r="A1130" s="18" t="s">
        <v>226</v>
      </c>
      <c r="B1130" s="18" t="s">
        <v>300</v>
      </c>
      <c r="C1130" s="18" t="n">
        <v>121</v>
      </c>
      <c r="D1130" s="30" t="n">
        <v>296.03</v>
      </c>
      <c r="E1130" s="18" t="n">
        <v>31</v>
      </c>
    </row>
    <row r="1131" customFormat="false" ht="15" hidden="false" customHeight="true" outlineLevel="0" collapsed="false">
      <c r="A1131" s="18" t="s">
        <v>226</v>
      </c>
      <c r="B1131" s="18" t="s">
        <v>301</v>
      </c>
      <c r="C1131" s="18" t="n">
        <v>66</v>
      </c>
      <c r="D1131" s="30" t="n">
        <v>166.48</v>
      </c>
      <c r="E1131" s="18" t="n">
        <v>32</v>
      </c>
    </row>
    <row r="1132" customFormat="false" ht="15" hidden="false" customHeight="true" outlineLevel="0" collapsed="false">
      <c r="A1132" s="18" t="s">
        <v>226</v>
      </c>
      <c r="B1132" s="18" t="s">
        <v>302</v>
      </c>
      <c r="C1132" s="18" t="n">
        <v>89</v>
      </c>
      <c r="D1132" s="30" t="n">
        <v>220.92</v>
      </c>
      <c r="E1132" s="18" t="n">
        <v>33</v>
      </c>
    </row>
    <row r="1133" customFormat="false" ht="15" hidden="false" customHeight="true" outlineLevel="0" collapsed="false">
      <c r="A1133" s="18" t="s">
        <v>226</v>
      </c>
      <c r="B1133" s="18" t="s">
        <v>303</v>
      </c>
      <c r="C1133" s="18" t="n">
        <v>79</v>
      </c>
      <c r="D1133" s="30" t="n">
        <v>197.93</v>
      </c>
      <c r="E1133" s="18" t="n">
        <v>34</v>
      </c>
    </row>
    <row r="1134" customFormat="false" ht="15" hidden="false" customHeight="true" outlineLevel="0" collapsed="false">
      <c r="A1134" s="18" t="s">
        <v>226</v>
      </c>
      <c r="B1134" s="18" t="s">
        <v>304</v>
      </c>
      <c r="C1134" s="18" t="n">
        <v>119</v>
      </c>
      <c r="D1134" s="30" t="n">
        <v>296.95</v>
      </c>
      <c r="E1134" s="18" t="n">
        <v>35</v>
      </c>
    </row>
    <row r="1135" customFormat="false" ht="15" hidden="false" customHeight="true" outlineLevel="0" collapsed="false">
      <c r="A1135" s="18" t="s">
        <v>226</v>
      </c>
      <c r="B1135" s="18" t="s">
        <v>305</v>
      </c>
      <c r="C1135" s="18" t="n">
        <v>80</v>
      </c>
      <c r="D1135" s="30" t="n">
        <v>197.73</v>
      </c>
      <c r="E1135" s="18" t="n">
        <v>36</v>
      </c>
    </row>
    <row r="1136" customFormat="false" ht="15" hidden="false" customHeight="true" outlineLevel="0" collapsed="false">
      <c r="A1136" s="18" t="s">
        <v>226</v>
      </c>
      <c r="B1136" s="18" t="s">
        <v>306</v>
      </c>
      <c r="C1136" s="18" t="n">
        <v>55</v>
      </c>
      <c r="D1136" s="30" t="n">
        <v>134.88</v>
      </c>
      <c r="E1136" s="18" t="n">
        <v>37</v>
      </c>
    </row>
    <row r="1137" customFormat="false" ht="15" hidden="false" customHeight="true" outlineLevel="0" collapsed="false">
      <c r="A1137" s="18" t="s">
        <v>226</v>
      </c>
      <c r="B1137" s="18" t="s">
        <v>307</v>
      </c>
      <c r="C1137" s="18" t="n">
        <v>75</v>
      </c>
      <c r="D1137" s="30" t="n">
        <v>190.66</v>
      </c>
      <c r="E1137" s="18" t="n">
        <v>38</v>
      </c>
    </row>
    <row r="1138" customFormat="false" ht="15" hidden="false" customHeight="true" outlineLevel="0" collapsed="false">
      <c r="A1138" s="18" t="s">
        <v>226</v>
      </c>
      <c r="B1138" s="18" t="s">
        <v>308</v>
      </c>
      <c r="C1138" s="18" t="n">
        <v>97</v>
      </c>
      <c r="D1138" s="30" t="n">
        <v>232.86</v>
      </c>
      <c r="E1138" s="18" t="n">
        <v>39</v>
      </c>
    </row>
    <row r="1139" customFormat="false" ht="15" hidden="false" customHeight="true" outlineLevel="0" collapsed="false">
      <c r="A1139" s="18" t="s">
        <v>226</v>
      </c>
      <c r="B1139" s="18" t="s">
        <v>309</v>
      </c>
      <c r="C1139" s="18" t="n">
        <v>63</v>
      </c>
      <c r="D1139" s="30" t="n">
        <v>159.07</v>
      </c>
      <c r="E1139" s="18" t="n">
        <v>40</v>
      </c>
    </row>
    <row r="1140" customFormat="false" ht="15" hidden="false" customHeight="true" outlineLevel="0" collapsed="false">
      <c r="A1140" s="18" t="s">
        <v>226</v>
      </c>
      <c r="B1140" s="18" t="s">
        <v>310</v>
      </c>
      <c r="C1140" s="18" t="n">
        <v>53</v>
      </c>
      <c r="D1140" s="30" t="n">
        <v>131.17</v>
      </c>
      <c r="E1140" s="18" t="n">
        <v>41</v>
      </c>
    </row>
    <row r="1141" customFormat="false" ht="15" hidden="false" customHeight="true" outlineLevel="0" collapsed="false">
      <c r="A1141" s="18" t="s">
        <v>226</v>
      </c>
      <c r="B1141" s="18" t="s">
        <v>311</v>
      </c>
      <c r="C1141" s="18" t="n">
        <v>59</v>
      </c>
      <c r="D1141" s="30" t="n">
        <v>148.46</v>
      </c>
      <c r="E1141" s="18" t="n">
        <v>42</v>
      </c>
    </row>
    <row r="1142" customFormat="false" ht="15" hidden="false" customHeight="true" outlineLevel="0" collapsed="false">
      <c r="A1142" s="18" t="s">
        <v>226</v>
      </c>
      <c r="B1142" s="18" t="s">
        <v>312</v>
      </c>
      <c r="C1142" s="18" t="n">
        <v>41</v>
      </c>
      <c r="D1142" s="30" t="n">
        <v>101.08</v>
      </c>
      <c r="E1142" s="18" t="n">
        <v>43</v>
      </c>
    </row>
    <row r="1143" customFormat="false" ht="15" hidden="false" customHeight="true" outlineLevel="0" collapsed="false">
      <c r="A1143" s="18" t="s">
        <v>226</v>
      </c>
      <c r="B1143" s="18" t="s">
        <v>313</v>
      </c>
      <c r="C1143" s="18" t="n">
        <v>53</v>
      </c>
      <c r="D1143" s="30" t="n">
        <v>128.79</v>
      </c>
      <c r="E1143" s="18" t="n">
        <v>44</v>
      </c>
    </row>
    <row r="1144" customFormat="false" ht="15" hidden="false" customHeight="true" outlineLevel="0" collapsed="false">
      <c r="A1144" s="18" t="s">
        <v>226</v>
      </c>
      <c r="B1144" s="18" t="s">
        <v>314</v>
      </c>
      <c r="C1144" s="18" t="n">
        <v>45</v>
      </c>
      <c r="D1144" s="30" t="n">
        <v>112.1</v>
      </c>
      <c r="E1144" s="18" t="n">
        <v>45</v>
      </c>
    </row>
    <row r="1145" customFormat="false" ht="15" hidden="false" customHeight="true" outlineLevel="0" collapsed="false">
      <c r="A1145" s="18" t="s">
        <v>226</v>
      </c>
      <c r="B1145" s="18" t="s">
        <v>315</v>
      </c>
      <c r="C1145" s="18" t="n">
        <v>90</v>
      </c>
      <c r="D1145" s="30" t="n">
        <v>218.93</v>
      </c>
      <c r="E1145" s="18" t="n">
        <v>46</v>
      </c>
    </row>
    <row r="1146" customFormat="false" ht="15" hidden="false" customHeight="true" outlineLevel="0" collapsed="false">
      <c r="A1146" s="18" t="s">
        <v>226</v>
      </c>
      <c r="B1146" s="18" t="s">
        <v>316</v>
      </c>
      <c r="C1146" s="18" t="n">
        <v>23</v>
      </c>
      <c r="D1146" s="30" t="n">
        <v>58.04</v>
      </c>
      <c r="E1146" s="18" t="n">
        <v>47</v>
      </c>
    </row>
    <row r="1147" customFormat="false" ht="15" hidden="false" customHeight="true" outlineLevel="0" collapsed="false">
      <c r="A1147" s="18" t="s">
        <v>226</v>
      </c>
      <c r="B1147" s="18" t="s">
        <v>317</v>
      </c>
      <c r="C1147" s="18" t="n">
        <v>40</v>
      </c>
      <c r="D1147" s="30" t="n">
        <v>98.82</v>
      </c>
      <c r="E1147" s="18" t="n">
        <v>48</v>
      </c>
    </row>
    <row r="1148" customFormat="false" ht="15" hidden="false" customHeight="true" outlineLevel="0" collapsed="false">
      <c r="A1148" s="18" t="s">
        <v>226</v>
      </c>
      <c r="B1148" s="18" t="s">
        <v>318</v>
      </c>
      <c r="C1148" s="18" t="n">
        <v>45</v>
      </c>
      <c r="D1148" s="30" t="n">
        <v>107.9</v>
      </c>
      <c r="E1148" s="18" t="n">
        <v>49</v>
      </c>
    </row>
    <row r="1149" customFormat="false" ht="15" hidden="false" customHeight="true" outlineLevel="0" collapsed="false">
      <c r="A1149" s="18" t="s">
        <v>226</v>
      </c>
      <c r="B1149" s="18" t="s">
        <v>319</v>
      </c>
      <c r="C1149" s="18" t="n">
        <v>41</v>
      </c>
      <c r="D1149" s="30" t="n">
        <v>101.34</v>
      </c>
      <c r="E1149" s="18" t="n">
        <v>50</v>
      </c>
    </row>
    <row r="1150" customFormat="false" ht="15" hidden="false" customHeight="true" outlineLevel="0" collapsed="false">
      <c r="A1150" s="18" t="s">
        <v>226</v>
      </c>
      <c r="B1150" s="18" t="s">
        <v>320</v>
      </c>
      <c r="C1150" s="18" t="n">
        <v>68</v>
      </c>
      <c r="D1150" s="30" t="n">
        <v>166.5</v>
      </c>
      <c r="E1150" s="18" t="n">
        <v>51</v>
      </c>
    </row>
    <row r="1151" customFormat="false" ht="15" hidden="false" customHeight="true" outlineLevel="0" collapsed="false">
      <c r="A1151" s="18" t="s">
        <v>226</v>
      </c>
      <c r="B1151" s="18" t="s">
        <v>321</v>
      </c>
      <c r="C1151" s="18" t="n">
        <v>50</v>
      </c>
      <c r="D1151" s="30" t="n">
        <v>121.04</v>
      </c>
      <c r="E1151" s="18" t="n">
        <v>52</v>
      </c>
    </row>
    <row r="1152" customFormat="false" ht="15" hidden="false" customHeight="true" outlineLevel="0" collapsed="false">
      <c r="A1152" s="18" t="s">
        <v>228</v>
      </c>
      <c r="B1152" s="18" t="s">
        <v>270</v>
      </c>
      <c r="C1152" s="18" t="n">
        <v>137</v>
      </c>
      <c r="D1152" s="30" t="n">
        <v>3867.75</v>
      </c>
      <c r="E1152" s="18" t="n">
        <v>1</v>
      </c>
    </row>
    <row r="1153" customFormat="false" ht="15" hidden="false" customHeight="true" outlineLevel="0" collapsed="false">
      <c r="A1153" s="18" t="s">
        <v>228</v>
      </c>
      <c r="B1153" s="18" t="s">
        <v>271</v>
      </c>
      <c r="C1153" s="18" t="n">
        <v>99</v>
      </c>
      <c r="D1153" s="30" t="n">
        <v>2890.41</v>
      </c>
      <c r="E1153" s="18" t="n">
        <v>2</v>
      </c>
    </row>
    <row r="1154" customFormat="false" ht="15" hidden="false" customHeight="true" outlineLevel="0" collapsed="false">
      <c r="A1154" s="18" t="s">
        <v>228</v>
      </c>
      <c r="B1154" s="18" t="s">
        <v>272</v>
      </c>
      <c r="C1154" s="18" t="n">
        <v>341</v>
      </c>
      <c r="D1154" s="30" t="n">
        <v>9787.38</v>
      </c>
      <c r="E1154" s="18" t="n">
        <v>3</v>
      </c>
    </row>
    <row r="1155" customFormat="false" ht="15" hidden="false" customHeight="true" outlineLevel="0" collapsed="false">
      <c r="A1155" s="18" t="s">
        <v>228</v>
      </c>
      <c r="B1155" s="18" t="s">
        <v>273</v>
      </c>
      <c r="C1155" s="18" t="n">
        <v>237</v>
      </c>
      <c r="D1155" s="30" t="n">
        <v>6764.91</v>
      </c>
      <c r="E1155" s="18" t="n">
        <v>4</v>
      </c>
    </row>
    <row r="1156" customFormat="false" ht="15" hidden="false" customHeight="true" outlineLevel="0" collapsed="false">
      <c r="A1156" s="18" t="s">
        <v>228</v>
      </c>
      <c r="B1156" s="18" t="s">
        <v>274</v>
      </c>
      <c r="C1156" s="18" t="n">
        <v>227</v>
      </c>
      <c r="D1156" s="30" t="n">
        <v>6687.62</v>
      </c>
      <c r="E1156" s="18" t="n">
        <v>5</v>
      </c>
    </row>
    <row r="1157" customFormat="false" ht="15" hidden="false" customHeight="true" outlineLevel="0" collapsed="false">
      <c r="A1157" s="18" t="s">
        <v>228</v>
      </c>
      <c r="B1157" s="18" t="s">
        <v>275</v>
      </c>
      <c r="C1157" s="18" t="n">
        <v>247</v>
      </c>
      <c r="D1157" s="30" t="n">
        <v>7012.22</v>
      </c>
      <c r="E1157" s="18" t="n">
        <v>6</v>
      </c>
    </row>
    <row r="1158" customFormat="false" ht="15" hidden="false" customHeight="true" outlineLevel="0" collapsed="false">
      <c r="A1158" s="18" t="s">
        <v>228</v>
      </c>
      <c r="B1158" s="18" t="s">
        <v>276</v>
      </c>
      <c r="C1158" s="18" t="n">
        <v>241</v>
      </c>
      <c r="D1158" s="30" t="n">
        <v>6876.34</v>
      </c>
      <c r="E1158" s="18" t="n">
        <v>7</v>
      </c>
    </row>
    <row r="1159" customFormat="false" ht="15" hidden="false" customHeight="true" outlineLevel="0" collapsed="false">
      <c r="A1159" s="18" t="s">
        <v>228</v>
      </c>
      <c r="B1159" s="18" t="s">
        <v>277</v>
      </c>
      <c r="C1159" s="18" t="n">
        <v>159</v>
      </c>
      <c r="D1159" s="30" t="n">
        <v>4588.19</v>
      </c>
      <c r="E1159" s="18" t="n">
        <v>8</v>
      </c>
    </row>
    <row r="1160" customFormat="false" ht="15" hidden="false" customHeight="true" outlineLevel="0" collapsed="false">
      <c r="A1160" s="18" t="s">
        <v>228</v>
      </c>
      <c r="B1160" s="18" t="s">
        <v>278</v>
      </c>
      <c r="C1160" s="18" t="n">
        <v>102</v>
      </c>
      <c r="D1160" s="30" t="n">
        <v>2915.89</v>
      </c>
      <c r="E1160" s="18" t="n">
        <v>9</v>
      </c>
    </row>
    <row r="1161" customFormat="false" ht="15" hidden="false" customHeight="true" outlineLevel="0" collapsed="false">
      <c r="A1161" s="18" t="s">
        <v>228</v>
      </c>
      <c r="B1161" s="18" t="s">
        <v>279</v>
      </c>
      <c r="C1161" s="18" t="n">
        <v>199</v>
      </c>
      <c r="D1161" s="30" t="n">
        <v>5789.87</v>
      </c>
      <c r="E1161" s="18" t="n">
        <v>10</v>
      </c>
    </row>
    <row r="1162" customFormat="false" ht="15" hidden="false" customHeight="true" outlineLevel="0" collapsed="false">
      <c r="A1162" s="18" t="s">
        <v>228</v>
      </c>
      <c r="B1162" s="18" t="s">
        <v>280</v>
      </c>
      <c r="C1162" s="18" t="n">
        <v>150</v>
      </c>
      <c r="D1162" s="30" t="n">
        <v>4293.06</v>
      </c>
      <c r="E1162" s="18" t="n">
        <v>11</v>
      </c>
    </row>
    <row r="1163" customFormat="false" ht="15" hidden="false" customHeight="true" outlineLevel="0" collapsed="false">
      <c r="A1163" s="18" t="s">
        <v>228</v>
      </c>
      <c r="B1163" s="18" t="s">
        <v>281</v>
      </c>
      <c r="C1163" s="18" t="n">
        <v>0</v>
      </c>
      <c r="D1163" s="30" t="n">
        <v>0</v>
      </c>
      <c r="E1163" s="18" t="n">
        <v>12</v>
      </c>
    </row>
    <row r="1164" customFormat="false" ht="15" hidden="false" customHeight="true" outlineLevel="0" collapsed="false">
      <c r="A1164" s="18" t="s">
        <v>228</v>
      </c>
      <c r="B1164" s="18" t="s">
        <v>282</v>
      </c>
      <c r="C1164" s="18" t="n">
        <v>162</v>
      </c>
      <c r="D1164" s="30" t="n">
        <v>4798.35</v>
      </c>
      <c r="E1164" s="18" t="n">
        <v>13</v>
      </c>
    </row>
    <row r="1165" customFormat="false" ht="15" hidden="false" customHeight="true" outlineLevel="0" collapsed="false">
      <c r="A1165" s="18" t="s">
        <v>228</v>
      </c>
      <c r="B1165" s="18" t="s">
        <v>283</v>
      </c>
      <c r="C1165" s="18" t="n">
        <v>312</v>
      </c>
      <c r="D1165" s="30" t="n">
        <v>9187.29</v>
      </c>
      <c r="E1165" s="18" t="n">
        <v>14</v>
      </c>
    </row>
    <row r="1166" customFormat="false" ht="15" hidden="false" customHeight="true" outlineLevel="0" collapsed="false">
      <c r="A1166" s="18" t="s">
        <v>228</v>
      </c>
      <c r="B1166" s="18" t="s">
        <v>284</v>
      </c>
      <c r="C1166" s="18" t="n">
        <v>209</v>
      </c>
      <c r="D1166" s="30" t="n">
        <v>6091.06</v>
      </c>
      <c r="E1166" s="18" t="n">
        <v>15</v>
      </c>
    </row>
    <row r="1167" customFormat="false" ht="15" hidden="false" customHeight="true" outlineLevel="0" collapsed="false">
      <c r="A1167" s="18" t="s">
        <v>228</v>
      </c>
      <c r="B1167" s="18" t="s">
        <v>285</v>
      </c>
      <c r="C1167" s="18" t="n">
        <v>192</v>
      </c>
      <c r="D1167" s="30" t="n">
        <v>5727.7</v>
      </c>
      <c r="E1167" s="18" t="n">
        <v>16</v>
      </c>
    </row>
    <row r="1168" customFormat="false" ht="15" hidden="false" customHeight="true" outlineLevel="0" collapsed="false">
      <c r="A1168" s="18" t="s">
        <v>228</v>
      </c>
      <c r="B1168" s="18" t="s">
        <v>286</v>
      </c>
      <c r="C1168" s="18" t="n">
        <v>232</v>
      </c>
      <c r="D1168" s="30" t="n">
        <v>6676.57</v>
      </c>
      <c r="E1168" s="18" t="n">
        <v>17</v>
      </c>
    </row>
    <row r="1169" customFormat="false" ht="15" hidden="false" customHeight="true" outlineLevel="0" collapsed="false">
      <c r="A1169" s="18" t="s">
        <v>228</v>
      </c>
      <c r="B1169" s="18" t="s">
        <v>287</v>
      </c>
      <c r="C1169" s="18" t="n">
        <v>224</v>
      </c>
      <c r="D1169" s="30" t="n">
        <v>6692.37</v>
      </c>
      <c r="E1169" s="18" t="n">
        <v>18</v>
      </c>
    </row>
    <row r="1170" customFormat="false" ht="15" hidden="false" customHeight="true" outlineLevel="0" collapsed="false">
      <c r="A1170" s="18" t="s">
        <v>228</v>
      </c>
      <c r="B1170" s="18" t="s">
        <v>288</v>
      </c>
      <c r="C1170" s="18" t="n">
        <v>162</v>
      </c>
      <c r="D1170" s="30" t="n">
        <v>4763.8</v>
      </c>
      <c r="E1170" s="18" t="n">
        <v>19</v>
      </c>
    </row>
    <row r="1171" customFormat="false" ht="15" hidden="false" customHeight="true" outlineLevel="0" collapsed="false">
      <c r="A1171" s="18" t="s">
        <v>228</v>
      </c>
      <c r="B1171" s="18" t="s">
        <v>289</v>
      </c>
      <c r="C1171" s="18" t="n">
        <v>178</v>
      </c>
      <c r="D1171" s="30" t="n">
        <v>5332.4</v>
      </c>
      <c r="E1171" s="18" t="n">
        <v>20</v>
      </c>
    </row>
    <row r="1172" customFormat="false" ht="15" hidden="false" customHeight="true" outlineLevel="0" collapsed="false">
      <c r="A1172" s="18" t="s">
        <v>228</v>
      </c>
      <c r="B1172" s="18" t="s">
        <v>290</v>
      </c>
      <c r="C1172" s="18" t="n">
        <v>169</v>
      </c>
      <c r="D1172" s="30" t="n">
        <v>5006.28</v>
      </c>
      <c r="E1172" s="18" t="n">
        <v>21</v>
      </c>
    </row>
    <row r="1173" customFormat="false" ht="15" hidden="false" customHeight="true" outlineLevel="0" collapsed="false">
      <c r="A1173" s="18" t="s">
        <v>228</v>
      </c>
      <c r="B1173" s="18" t="s">
        <v>291</v>
      </c>
      <c r="C1173" s="18" t="n">
        <v>137</v>
      </c>
      <c r="D1173" s="30" t="n">
        <v>3878.79</v>
      </c>
      <c r="E1173" s="18" t="n">
        <v>22</v>
      </c>
    </row>
    <row r="1174" customFormat="false" ht="15" hidden="false" customHeight="true" outlineLevel="0" collapsed="false">
      <c r="A1174" s="18" t="s">
        <v>228</v>
      </c>
      <c r="B1174" s="18" t="s">
        <v>292</v>
      </c>
      <c r="C1174" s="18" t="n">
        <v>137</v>
      </c>
      <c r="D1174" s="30" t="n">
        <v>3951.95</v>
      </c>
      <c r="E1174" s="18" t="n">
        <v>23</v>
      </c>
    </row>
    <row r="1175" customFormat="false" ht="15" hidden="false" customHeight="true" outlineLevel="0" collapsed="false">
      <c r="A1175" s="18" t="s">
        <v>228</v>
      </c>
      <c r="B1175" s="18" t="s">
        <v>293</v>
      </c>
      <c r="C1175" s="18" t="n">
        <v>133</v>
      </c>
      <c r="D1175" s="30" t="n">
        <v>3873.56</v>
      </c>
      <c r="E1175" s="18" t="n">
        <v>24</v>
      </c>
    </row>
    <row r="1176" customFormat="false" ht="15" hidden="false" customHeight="true" outlineLevel="0" collapsed="false">
      <c r="A1176" s="18" t="s">
        <v>228</v>
      </c>
      <c r="B1176" s="18" t="s">
        <v>294</v>
      </c>
      <c r="C1176" s="18" t="n">
        <v>162</v>
      </c>
      <c r="D1176" s="30" t="n">
        <v>4611.02</v>
      </c>
      <c r="E1176" s="18" t="n">
        <v>25</v>
      </c>
    </row>
    <row r="1177" customFormat="false" ht="15" hidden="false" customHeight="true" outlineLevel="0" collapsed="false">
      <c r="A1177" s="18" t="s">
        <v>228</v>
      </c>
      <c r="B1177" s="18" t="s">
        <v>295</v>
      </c>
      <c r="C1177" s="18" t="n">
        <v>260</v>
      </c>
      <c r="D1177" s="30" t="n">
        <v>7385.92</v>
      </c>
      <c r="E1177" s="18" t="n">
        <v>26</v>
      </c>
    </row>
    <row r="1178" customFormat="false" ht="15" hidden="false" customHeight="true" outlineLevel="0" collapsed="false">
      <c r="A1178" s="18" t="s">
        <v>228</v>
      </c>
      <c r="B1178" s="18" t="s">
        <v>296</v>
      </c>
      <c r="C1178" s="18" t="n">
        <v>178</v>
      </c>
      <c r="D1178" s="30" t="n">
        <v>5133.62</v>
      </c>
      <c r="E1178" s="18" t="n">
        <v>27</v>
      </c>
    </row>
    <row r="1179" customFormat="false" ht="15" hidden="false" customHeight="true" outlineLevel="0" collapsed="false">
      <c r="A1179" s="18" t="s">
        <v>228</v>
      </c>
      <c r="B1179" s="18" t="s">
        <v>297</v>
      </c>
      <c r="C1179" s="18" t="n">
        <v>0</v>
      </c>
      <c r="D1179" s="30" t="n">
        <v>0</v>
      </c>
      <c r="E1179" s="18" t="n">
        <v>28</v>
      </c>
    </row>
    <row r="1180" customFormat="false" ht="15" hidden="false" customHeight="true" outlineLevel="0" collapsed="false">
      <c r="A1180" s="18" t="s">
        <v>228</v>
      </c>
      <c r="B1180" s="18" t="s">
        <v>298</v>
      </c>
      <c r="C1180" s="18" t="n">
        <v>128</v>
      </c>
      <c r="D1180" s="30" t="n">
        <v>3822.01</v>
      </c>
      <c r="E1180" s="18" t="n">
        <v>29</v>
      </c>
    </row>
    <row r="1181" customFormat="false" ht="15" hidden="false" customHeight="true" outlineLevel="0" collapsed="false">
      <c r="A1181" s="18" t="s">
        <v>228</v>
      </c>
      <c r="B1181" s="18" t="s">
        <v>299</v>
      </c>
      <c r="C1181" s="18" t="n">
        <v>154</v>
      </c>
      <c r="D1181" s="30" t="n">
        <v>4571.71</v>
      </c>
      <c r="E1181" s="18" t="n">
        <v>30</v>
      </c>
    </row>
    <row r="1182" customFormat="false" ht="15" hidden="false" customHeight="true" outlineLevel="0" collapsed="false">
      <c r="A1182" s="18" t="s">
        <v>228</v>
      </c>
      <c r="B1182" s="18" t="s">
        <v>300</v>
      </c>
      <c r="C1182" s="18" t="n">
        <v>31</v>
      </c>
      <c r="D1182" s="30" t="n">
        <v>915.08</v>
      </c>
      <c r="E1182" s="18" t="n">
        <v>31</v>
      </c>
    </row>
    <row r="1183" customFormat="false" ht="15" hidden="false" customHeight="true" outlineLevel="0" collapsed="false">
      <c r="A1183" s="18" t="s">
        <v>228</v>
      </c>
      <c r="B1183" s="18" t="s">
        <v>301</v>
      </c>
      <c r="C1183" s="18" t="n">
        <v>27</v>
      </c>
      <c r="D1183" s="30" t="n">
        <v>802.04</v>
      </c>
      <c r="E1183" s="18" t="n">
        <v>32</v>
      </c>
    </row>
    <row r="1184" customFormat="false" ht="15" hidden="false" customHeight="true" outlineLevel="0" collapsed="false">
      <c r="A1184" s="18" t="s">
        <v>228</v>
      </c>
      <c r="B1184" s="18" t="s">
        <v>302</v>
      </c>
      <c r="C1184" s="18" t="n">
        <v>125</v>
      </c>
      <c r="D1184" s="30" t="n">
        <v>3665.17</v>
      </c>
      <c r="E1184" s="18" t="n">
        <v>33</v>
      </c>
    </row>
    <row r="1185" customFormat="false" ht="15" hidden="false" customHeight="true" outlineLevel="0" collapsed="false">
      <c r="A1185" s="18" t="s">
        <v>228</v>
      </c>
      <c r="B1185" s="18" t="s">
        <v>303</v>
      </c>
      <c r="C1185" s="18" t="n">
        <v>132</v>
      </c>
      <c r="D1185" s="30" t="n">
        <v>3882.57</v>
      </c>
      <c r="E1185" s="18" t="n">
        <v>34</v>
      </c>
    </row>
    <row r="1186" customFormat="false" ht="15" hidden="false" customHeight="true" outlineLevel="0" collapsed="false">
      <c r="A1186" s="18" t="s">
        <v>228</v>
      </c>
      <c r="B1186" s="18" t="s">
        <v>304</v>
      </c>
      <c r="C1186" s="18" t="n">
        <v>150</v>
      </c>
      <c r="D1186" s="30" t="n">
        <v>4495.49</v>
      </c>
      <c r="E1186" s="18" t="n">
        <v>35</v>
      </c>
    </row>
    <row r="1187" customFormat="false" ht="15" hidden="false" customHeight="true" outlineLevel="0" collapsed="false">
      <c r="A1187" s="18" t="s">
        <v>228</v>
      </c>
      <c r="B1187" s="18" t="s">
        <v>305</v>
      </c>
      <c r="C1187" s="18" t="n">
        <v>332</v>
      </c>
      <c r="D1187" s="30" t="n">
        <v>9406.9</v>
      </c>
      <c r="E1187" s="18" t="n">
        <v>36</v>
      </c>
    </row>
    <row r="1188" customFormat="false" ht="15" hidden="false" customHeight="true" outlineLevel="0" collapsed="false">
      <c r="A1188" s="18" t="s">
        <v>228</v>
      </c>
      <c r="B1188" s="18" t="s">
        <v>306</v>
      </c>
      <c r="C1188" s="18" t="n">
        <v>243</v>
      </c>
      <c r="D1188" s="30" t="n">
        <v>6909.66</v>
      </c>
      <c r="E1188" s="18" t="n">
        <v>37</v>
      </c>
    </row>
    <row r="1189" customFormat="false" ht="15" hidden="false" customHeight="true" outlineLevel="0" collapsed="false">
      <c r="A1189" s="18" t="s">
        <v>228</v>
      </c>
      <c r="B1189" s="18" t="s">
        <v>308</v>
      </c>
      <c r="C1189" s="18" t="n">
        <v>283</v>
      </c>
      <c r="D1189" s="30" t="n">
        <v>8079.06</v>
      </c>
      <c r="E1189" s="18" t="n">
        <v>38</v>
      </c>
    </row>
    <row r="1190" customFormat="false" ht="15" hidden="false" customHeight="true" outlineLevel="0" collapsed="false">
      <c r="A1190" s="18" t="s">
        <v>228</v>
      </c>
      <c r="B1190" s="18" t="s">
        <v>309</v>
      </c>
      <c r="C1190" s="18" t="n">
        <v>109</v>
      </c>
      <c r="D1190" s="30" t="n">
        <v>3085.3</v>
      </c>
      <c r="E1190" s="18" t="n">
        <v>39</v>
      </c>
    </row>
    <row r="1191" customFormat="false" ht="15" hidden="false" customHeight="true" outlineLevel="0" collapsed="false">
      <c r="A1191" s="18" t="s">
        <v>228</v>
      </c>
      <c r="B1191" s="18" t="s">
        <v>310</v>
      </c>
      <c r="C1191" s="18" t="n">
        <v>225</v>
      </c>
      <c r="D1191" s="30" t="n">
        <v>6366.77</v>
      </c>
      <c r="E1191" s="18" t="n">
        <v>40</v>
      </c>
    </row>
    <row r="1192" customFormat="false" ht="15" hidden="false" customHeight="true" outlineLevel="0" collapsed="false">
      <c r="A1192" s="18" t="s">
        <v>228</v>
      </c>
      <c r="B1192" s="18" t="s">
        <v>311</v>
      </c>
      <c r="C1192" s="18" t="n">
        <v>109</v>
      </c>
      <c r="D1192" s="30" t="n">
        <v>3183.07</v>
      </c>
      <c r="E1192" s="18" t="n">
        <v>41</v>
      </c>
    </row>
    <row r="1193" customFormat="false" ht="15" hidden="false" customHeight="true" outlineLevel="0" collapsed="false">
      <c r="A1193" s="18" t="s">
        <v>228</v>
      </c>
      <c r="B1193" s="18" t="s">
        <v>312</v>
      </c>
      <c r="C1193" s="18" t="n">
        <v>153</v>
      </c>
      <c r="D1193" s="30" t="n">
        <v>4478.14</v>
      </c>
      <c r="E1193" s="18" t="n">
        <v>42</v>
      </c>
    </row>
    <row r="1194" customFormat="false" ht="15" hidden="false" customHeight="true" outlineLevel="0" collapsed="false">
      <c r="A1194" s="18" t="s">
        <v>228</v>
      </c>
      <c r="B1194" s="18" t="s">
        <v>313</v>
      </c>
      <c r="C1194" s="18" t="n">
        <v>31</v>
      </c>
      <c r="D1194" s="30" t="n">
        <v>925.01</v>
      </c>
      <c r="E1194" s="18" t="n">
        <v>43</v>
      </c>
    </row>
    <row r="1195" customFormat="false" ht="15" hidden="false" customHeight="true" outlineLevel="0" collapsed="false">
      <c r="A1195" s="18" t="s">
        <v>228</v>
      </c>
      <c r="B1195" s="18" t="s">
        <v>314</v>
      </c>
      <c r="C1195" s="18" t="n">
        <v>166</v>
      </c>
      <c r="D1195" s="30" t="n">
        <v>4882.52</v>
      </c>
      <c r="E1195" s="18" t="n">
        <v>44</v>
      </c>
    </row>
    <row r="1196" customFormat="false" ht="15" hidden="false" customHeight="true" outlineLevel="0" collapsed="false">
      <c r="A1196" s="18" t="s">
        <v>228</v>
      </c>
      <c r="B1196" s="18" t="s">
        <v>315</v>
      </c>
      <c r="C1196" s="18" t="n">
        <v>212</v>
      </c>
      <c r="D1196" s="30" t="n">
        <v>6337.94</v>
      </c>
      <c r="E1196" s="18" t="n">
        <v>45</v>
      </c>
    </row>
    <row r="1197" customFormat="false" ht="15" hidden="false" customHeight="true" outlineLevel="0" collapsed="false">
      <c r="A1197" s="18" t="s">
        <v>228</v>
      </c>
      <c r="B1197" s="18" t="s">
        <v>316</v>
      </c>
      <c r="C1197" s="18" t="n">
        <v>0</v>
      </c>
      <c r="D1197" s="30" t="n">
        <v>0</v>
      </c>
      <c r="E1197" s="18" t="n">
        <v>46</v>
      </c>
    </row>
    <row r="1198" customFormat="false" ht="15" hidden="false" customHeight="true" outlineLevel="0" collapsed="false">
      <c r="A1198" s="18" t="s">
        <v>228</v>
      </c>
      <c r="B1198" s="18" t="s">
        <v>317</v>
      </c>
      <c r="C1198" s="18" t="n">
        <v>88</v>
      </c>
      <c r="D1198" s="30" t="n">
        <v>2608.82</v>
      </c>
      <c r="E1198" s="18" t="n">
        <v>47</v>
      </c>
    </row>
    <row r="1199" customFormat="false" ht="15" hidden="false" customHeight="true" outlineLevel="0" collapsed="false">
      <c r="A1199" s="18" t="s">
        <v>228</v>
      </c>
      <c r="B1199" s="18" t="s">
        <v>319</v>
      </c>
      <c r="C1199" s="18" t="n">
        <v>216</v>
      </c>
      <c r="D1199" s="30" t="n">
        <v>6271.57</v>
      </c>
      <c r="E1199" s="18" t="n">
        <v>48</v>
      </c>
    </row>
    <row r="1200" customFormat="false" ht="15" hidden="false" customHeight="true" outlineLevel="0" collapsed="false">
      <c r="A1200" s="18" t="s">
        <v>228</v>
      </c>
      <c r="B1200" s="18" t="s">
        <v>320</v>
      </c>
      <c r="C1200" s="18" t="n">
        <v>235</v>
      </c>
      <c r="D1200" s="30" t="n">
        <v>6913.93</v>
      </c>
      <c r="E1200" s="18" t="n">
        <v>49</v>
      </c>
    </row>
    <row r="1201" customFormat="false" ht="15" hidden="false" customHeight="true" outlineLevel="0" collapsed="false">
      <c r="A1201" s="18" t="s">
        <v>228</v>
      </c>
      <c r="B1201" s="18" t="s">
        <v>321</v>
      </c>
      <c r="C1201" s="18" t="n">
        <v>125</v>
      </c>
      <c r="D1201" s="30" t="n">
        <v>3670.2</v>
      </c>
      <c r="E1201" s="18" t="n">
        <v>50</v>
      </c>
    </row>
    <row r="1202" customFormat="false" ht="15" hidden="false" customHeight="true" outlineLevel="0" collapsed="false">
      <c r="A1202" s="18" t="s">
        <v>232</v>
      </c>
      <c r="B1202" s="18" t="s">
        <v>270</v>
      </c>
      <c r="C1202" s="18" t="n">
        <v>80</v>
      </c>
      <c r="D1202" s="30" t="n">
        <v>1896.15</v>
      </c>
      <c r="E1202" s="18" t="n">
        <v>1</v>
      </c>
    </row>
    <row r="1203" customFormat="false" ht="15" hidden="false" customHeight="true" outlineLevel="0" collapsed="false">
      <c r="A1203" s="18" t="s">
        <v>232</v>
      </c>
      <c r="B1203" s="18" t="s">
        <v>271</v>
      </c>
      <c r="C1203" s="18" t="n">
        <v>107</v>
      </c>
      <c r="D1203" s="30" t="n">
        <v>2501.15</v>
      </c>
      <c r="E1203" s="18" t="n">
        <v>2</v>
      </c>
    </row>
    <row r="1204" customFormat="false" ht="15" hidden="false" customHeight="true" outlineLevel="0" collapsed="false">
      <c r="A1204" s="18" t="s">
        <v>232</v>
      </c>
      <c r="B1204" s="18" t="s">
        <v>272</v>
      </c>
      <c r="C1204" s="18" t="n">
        <v>88</v>
      </c>
      <c r="D1204" s="30" t="n">
        <v>2059.93</v>
      </c>
      <c r="E1204" s="18" t="n">
        <v>3</v>
      </c>
    </row>
    <row r="1205" customFormat="false" ht="15" hidden="false" customHeight="true" outlineLevel="0" collapsed="false">
      <c r="A1205" s="18" t="s">
        <v>232</v>
      </c>
      <c r="B1205" s="18" t="s">
        <v>273</v>
      </c>
      <c r="C1205" s="18" t="n">
        <v>89</v>
      </c>
      <c r="D1205" s="30" t="n">
        <v>2151.29</v>
      </c>
      <c r="E1205" s="18" t="n">
        <v>4</v>
      </c>
    </row>
    <row r="1206" customFormat="false" ht="15" hidden="false" customHeight="true" outlineLevel="0" collapsed="false">
      <c r="A1206" s="18" t="s">
        <v>232</v>
      </c>
      <c r="B1206" s="18" t="s">
        <v>274</v>
      </c>
      <c r="C1206" s="18" t="n">
        <v>82</v>
      </c>
      <c r="D1206" s="30" t="n">
        <v>1936.76</v>
      </c>
      <c r="E1206" s="18" t="n">
        <v>5</v>
      </c>
    </row>
    <row r="1207" customFormat="false" ht="15" hidden="false" customHeight="true" outlineLevel="0" collapsed="false">
      <c r="A1207" s="18" t="s">
        <v>232</v>
      </c>
      <c r="B1207" s="18" t="s">
        <v>275</v>
      </c>
      <c r="C1207" s="18" t="n">
        <v>69</v>
      </c>
      <c r="D1207" s="30" t="n">
        <v>1672.54</v>
      </c>
      <c r="E1207" s="18" t="n">
        <v>6</v>
      </c>
    </row>
    <row r="1208" customFormat="false" ht="15" hidden="false" customHeight="true" outlineLevel="0" collapsed="false">
      <c r="A1208" s="18" t="s">
        <v>232</v>
      </c>
      <c r="B1208" s="18" t="s">
        <v>276</v>
      </c>
      <c r="C1208" s="18" t="n">
        <v>121</v>
      </c>
      <c r="D1208" s="30" t="n">
        <v>2923.16</v>
      </c>
      <c r="E1208" s="18" t="n">
        <v>7</v>
      </c>
    </row>
    <row r="1209" customFormat="false" ht="15" hidden="false" customHeight="true" outlineLevel="0" collapsed="false">
      <c r="A1209" s="18" t="s">
        <v>232</v>
      </c>
      <c r="B1209" s="18" t="s">
        <v>277</v>
      </c>
      <c r="C1209" s="18" t="n">
        <v>64</v>
      </c>
      <c r="D1209" s="30" t="n">
        <v>1537.26</v>
      </c>
      <c r="E1209" s="18" t="n">
        <v>8</v>
      </c>
    </row>
    <row r="1210" customFormat="false" ht="15" hidden="false" customHeight="true" outlineLevel="0" collapsed="false">
      <c r="A1210" s="18" t="s">
        <v>232</v>
      </c>
      <c r="B1210" s="18" t="s">
        <v>278</v>
      </c>
      <c r="C1210" s="18" t="n">
        <v>110</v>
      </c>
      <c r="D1210" s="30" t="n">
        <v>2655.81</v>
      </c>
      <c r="E1210" s="18" t="n">
        <v>9</v>
      </c>
    </row>
    <row r="1211" customFormat="false" ht="15" hidden="false" customHeight="true" outlineLevel="0" collapsed="false">
      <c r="A1211" s="18" t="s">
        <v>232</v>
      </c>
      <c r="B1211" s="18" t="s">
        <v>279</v>
      </c>
      <c r="C1211" s="18" t="n">
        <v>67</v>
      </c>
      <c r="D1211" s="30" t="n">
        <v>1585.75</v>
      </c>
      <c r="E1211" s="18" t="n">
        <v>10</v>
      </c>
    </row>
    <row r="1212" customFormat="false" ht="15" hidden="false" customHeight="true" outlineLevel="0" collapsed="false">
      <c r="A1212" s="18" t="s">
        <v>232</v>
      </c>
      <c r="B1212" s="18" t="s">
        <v>280</v>
      </c>
      <c r="C1212" s="18" t="n">
        <v>72</v>
      </c>
      <c r="D1212" s="30" t="n">
        <v>1694.15</v>
      </c>
      <c r="E1212" s="18" t="n">
        <v>11</v>
      </c>
    </row>
    <row r="1213" customFormat="false" ht="15" hidden="false" customHeight="true" outlineLevel="0" collapsed="false">
      <c r="A1213" s="18" t="s">
        <v>232</v>
      </c>
      <c r="B1213" s="18" t="s">
        <v>281</v>
      </c>
      <c r="C1213" s="18" t="n">
        <v>61</v>
      </c>
      <c r="D1213" s="30" t="n">
        <v>1443.78</v>
      </c>
      <c r="E1213" s="18" t="n">
        <v>12</v>
      </c>
    </row>
    <row r="1214" customFormat="false" ht="15" hidden="false" customHeight="true" outlineLevel="0" collapsed="false">
      <c r="A1214" s="18" t="s">
        <v>232</v>
      </c>
      <c r="B1214" s="18" t="s">
        <v>282</v>
      </c>
      <c r="C1214" s="18" t="n">
        <v>93</v>
      </c>
      <c r="D1214" s="30" t="n">
        <v>2200.58</v>
      </c>
      <c r="E1214" s="18" t="n">
        <v>13</v>
      </c>
    </row>
    <row r="1215" customFormat="false" ht="15" hidden="false" customHeight="true" outlineLevel="0" collapsed="false">
      <c r="A1215" s="18" t="s">
        <v>232</v>
      </c>
      <c r="B1215" s="18" t="s">
        <v>283</v>
      </c>
      <c r="C1215" s="18" t="n">
        <v>48</v>
      </c>
      <c r="D1215" s="30" t="n">
        <v>1171.43</v>
      </c>
      <c r="E1215" s="18" t="n">
        <v>14</v>
      </c>
    </row>
    <row r="1216" customFormat="false" ht="15" hidden="false" customHeight="true" outlineLevel="0" collapsed="false">
      <c r="A1216" s="18" t="s">
        <v>232</v>
      </c>
      <c r="B1216" s="18" t="s">
        <v>284</v>
      </c>
      <c r="C1216" s="18" t="n">
        <v>67</v>
      </c>
      <c r="D1216" s="30" t="n">
        <v>1605.55</v>
      </c>
      <c r="E1216" s="18" t="n">
        <v>15</v>
      </c>
    </row>
    <row r="1217" customFormat="false" ht="15" hidden="false" customHeight="true" outlineLevel="0" collapsed="false">
      <c r="A1217" s="18" t="s">
        <v>232</v>
      </c>
      <c r="B1217" s="18" t="s">
        <v>285</v>
      </c>
      <c r="C1217" s="18" t="n">
        <v>26</v>
      </c>
      <c r="D1217" s="30" t="n">
        <v>600.74</v>
      </c>
      <c r="E1217" s="18" t="n">
        <v>16</v>
      </c>
    </row>
    <row r="1218" customFormat="false" ht="15" hidden="false" customHeight="true" outlineLevel="0" collapsed="false">
      <c r="A1218" s="18" t="s">
        <v>232</v>
      </c>
      <c r="B1218" s="18" t="s">
        <v>286</v>
      </c>
      <c r="C1218" s="18" t="n">
        <v>34</v>
      </c>
      <c r="D1218" s="30" t="n">
        <v>795.12</v>
      </c>
      <c r="E1218" s="18" t="n">
        <v>17</v>
      </c>
    </row>
    <row r="1219" customFormat="false" ht="15" hidden="false" customHeight="true" outlineLevel="0" collapsed="false">
      <c r="A1219" s="18" t="s">
        <v>232</v>
      </c>
      <c r="B1219" s="18" t="s">
        <v>287</v>
      </c>
      <c r="C1219" s="18" t="n">
        <v>50</v>
      </c>
      <c r="D1219" s="30" t="n">
        <v>1182.46</v>
      </c>
      <c r="E1219" s="18" t="n">
        <v>18</v>
      </c>
    </row>
    <row r="1220" customFormat="false" ht="15" hidden="false" customHeight="true" outlineLevel="0" collapsed="false">
      <c r="A1220" s="18" t="s">
        <v>232</v>
      </c>
      <c r="B1220" s="18" t="s">
        <v>288</v>
      </c>
      <c r="C1220" s="18" t="n">
        <v>46</v>
      </c>
      <c r="D1220" s="30" t="n">
        <v>1061.57</v>
      </c>
      <c r="E1220" s="18" t="n">
        <v>19</v>
      </c>
    </row>
    <row r="1221" customFormat="false" ht="15" hidden="false" customHeight="true" outlineLevel="0" collapsed="false">
      <c r="A1221" s="18" t="s">
        <v>232</v>
      </c>
      <c r="B1221" s="18" t="s">
        <v>289</v>
      </c>
      <c r="C1221" s="18" t="n">
        <v>45</v>
      </c>
      <c r="D1221" s="30" t="n">
        <v>1044.44</v>
      </c>
      <c r="E1221" s="18" t="n">
        <v>20</v>
      </c>
    </row>
    <row r="1222" customFormat="false" ht="15" hidden="false" customHeight="true" outlineLevel="0" collapsed="false">
      <c r="A1222" s="18" t="s">
        <v>232</v>
      </c>
      <c r="B1222" s="18" t="s">
        <v>290</v>
      </c>
      <c r="C1222" s="18" t="n">
        <v>66</v>
      </c>
      <c r="D1222" s="30" t="n">
        <v>1554.04</v>
      </c>
      <c r="E1222" s="18" t="n">
        <v>21</v>
      </c>
    </row>
    <row r="1223" customFormat="false" ht="15" hidden="false" customHeight="true" outlineLevel="0" collapsed="false">
      <c r="A1223" s="18" t="s">
        <v>232</v>
      </c>
      <c r="B1223" s="18" t="s">
        <v>291</v>
      </c>
      <c r="C1223" s="18" t="n">
        <v>67</v>
      </c>
      <c r="D1223" s="30" t="n">
        <v>1567.33</v>
      </c>
      <c r="E1223" s="18" t="n">
        <v>22</v>
      </c>
    </row>
    <row r="1224" customFormat="false" ht="15" hidden="false" customHeight="true" outlineLevel="0" collapsed="false">
      <c r="A1224" s="18" t="s">
        <v>232</v>
      </c>
      <c r="B1224" s="18" t="s">
        <v>292</v>
      </c>
      <c r="C1224" s="18" t="n">
        <v>60</v>
      </c>
      <c r="D1224" s="30" t="n">
        <v>1465.2</v>
      </c>
      <c r="E1224" s="18" t="n">
        <v>23</v>
      </c>
    </row>
    <row r="1225" customFormat="false" ht="15" hidden="false" customHeight="true" outlineLevel="0" collapsed="false">
      <c r="A1225" s="18" t="s">
        <v>232</v>
      </c>
      <c r="B1225" s="18" t="s">
        <v>293</v>
      </c>
      <c r="C1225" s="18" t="n">
        <v>40</v>
      </c>
      <c r="D1225" s="30" t="n">
        <v>930.3</v>
      </c>
      <c r="E1225" s="18" t="n">
        <v>24</v>
      </c>
    </row>
    <row r="1226" customFormat="false" ht="15" hidden="false" customHeight="true" outlineLevel="0" collapsed="false">
      <c r="A1226" s="18" t="s">
        <v>232</v>
      </c>
      <c r="B1226" s="18" t="s">
        <v>294</v>
      </c>
      <c r="C1226" s="18" t="n">
        <v>58</v>
      </c>
      <c r="D1226" s="30" t="n">
        <v>1419.66</v>
      </c>
      <c r="E1226" s="18" t="n">
        <v>25</v>
      </c>
    </row>
    <row r="1227" customFormat="false" ht="15" hidden="false" customHeight="true" outlineLevel="0" collapsed="false">
      <c r="A1227" s="18" t="s">
        <v>232</v>
      </c>
      <c r="B1227" s="18" t="s">
        <v>295</v>
      </c>
      <c r="C1227" s="18" t="n">
        <v>99</v>
      </c>
      <c r="D1227" s="30" t="n">
        <v>2370.8</v>
      </c>
      <c r="E1227" s="18" t="n">
        <v>26</v>
      </c>
    </row>
    <row r="1228" customFormat="false" ht="15" hidden="false" customHeight="true" outlineLevel="0" collapsed="false">
      <c r="A1228" s="18" t="s">
        <v>232</v>
      </c>
      <c r="B1228" s="18" t="s">
        <v>296</v>
      </c>
      <c r="C1228" s="18" t="n">
        <v>115</v>
      </c>
      <c r="D1228" s="30" t="n">
        <v>2668.29</v>
      </c>
      <c r="E1228" s="18" t="n">
        <v>27</v>
      </c>
    </row>
    <row r="1229" customFormat="false" ht="15" hidden="false" customHeight="true" outlineLevel="0" collapsed="false">
      <c r="A1229" s="18" t="s">
        <v>232</v>
      </c>
      <c r="B1229" s="18" t="s">
        <v>297</v>
      </c>
      <c r="C1229" s="18" t="n">
        <v>89</v>
      </c>
      <c r="D1229" s="30" t="n">
        <v>2079.71</v>
      </c>
      <c r="E1229" s="18" t="n">
        <v>28</v>
      </c>
    </row>
    <row r="1230" customFormat="false" ht="15" hidden="false" customHeight="true" outlineLevel="0" collapsed="false">
      <c r="A1230" s="18" t="s">
        <v>232</v>
      </c>
      <c r="B1230" s="18" t="s">
        <v>298</v>
      </c>
      <c r="C1230" s="18" t="n">
        <v>50</v>
      </c>
      <c r="D1230" s="30" t="n">
        <v>1183.8</v>
      </c>
      <c r="E1230" s="18" t="n">
        <v>29</v>
      </c>
    </row>
    <row r="1231" customFormat="false" ht="15" hidden="false" customHeight="true" outlineLevel="0" collapsed="false">
      <c r="A1231" s="18" t="s">
        <v>232</v>
      </c>
      <c r="B1231" s="18" t="s">
        <v>299</v>
      </c>
      <c r="C1231" s="18" t="n">
        <v>72</v>
      </c>
      <c r="D1231" s="30" t="n">
        <v>1757.2</v>
      </c>
      <c r="E1231" s="18" t="n">
        <v>30</v>
      </c>
    </row>
    <row r="1232" customFormat="false" ht="15" hidden="false" customHeight="true" outlineLevel="0" collapsed="false">
      <c r="A1232" s="18" t="s">
        <v>232</v>
      </c>
      <c r="B1232" s="18" t="s">
        <v>300</v>
      </c>
      <c r="C1232" s="18" t="n">
        <v>82</v>
      </c>
      <c r="D1232" s="30" t="n">
        <v>2008.96</v>
      </c>
      <c r="E1232" s="18" t="n">
        <v>31</v>
      </c>
    </row>
    <row r="1233" customFormat="false" ht="15" hidden="false" customHeight="true" outlineLevel="0" collapsed="false">
      <c r="A1233" s="18" t="s">
        <v>232</v>
      </c>
      <c r="B1233" s="18" t="s">
        <v>301</v>
      </c>
      <c r="C1233" s="18" t="n">
        <v>79</v>
      </c>
      <c r="D1233" s="30" t="n">
        <v>1896.19</v>
      </c>
      <c r="E1233" s="18" t="n">
        <v>32</v>
      </c>
    </row>
    <row r="1234" customFormat="false" ht="15" hidden="false" customHeight="true" outlineLevel="0" collapsed="false">
      <c r="A1234" s="18" t="s">
        <v>232</v>
      </c>
      <c r="B1234" s="18" t="s">
        <v>302</v>
      </c>
      <c r="C1234" s="18" t="n">
        <v>104</v>
      </c>
      <c r="D1234" s="30" t="n">
        <v>2408.49</v>
      </c>
      <c r="E1234" s="18" t="n">
        <v>33</v>
      </c>
    </row>
    <row r="1235" customFormat="false" ht="15" hidden="false" customHeight="true" outlineLevel="0" collapsed="false">
      <c r="A1235" s="18" t="s">
        <v>232</v>
      </c>
      <c r="B1235" s="18" t="s">
        <v>303</v>
      </c>
      <c r="C1235" s="18" t="n">
        <v>95</v>
      </c>
      <c r="D1235" s="30" t="n">
        <v>2269.25</v>
      </c>
      <c r="E1235" s="18" t="n">
        <v>34</v>
      </c>
    </row>
    <row r="1236" customFormat="false" ht="15" hidden="false" customHeight="true" outlineLevel="0" collapsed="false">
      <c r="A1236" s="18" t="s">
        <v>232</v>
      </c>
      <c r="B1236" s="18" t="s">
        <v>304</v>
      </c>
      <c r="C1236" s="18" t="n">
        <v>53</v>
      </c>
      <c r="D1236" s="30" t="n">
        <v>1234.33</v>
      </c>
      <c r="E1236" s="18" t="n">
        <v>35</v>
      </c>
    </row>
    <row r="1237" customFormat="false" ht="15" hidden="false" customHeight="true" outlineLevel="0" collapsed="false">
      <c r="A1237" s="18" t="s">
        <v>232</v>
      </c>
      <c r="B1237" s="18" t="s">
        <v>305</v>
      </c>
      <c r="C1237" s="18" t="n">
        <v>61</v>
      </c>
      <c r="D1237" s="30" t="n">
        <v>1466.3</v>
      </c>
      <c r="E1237" s="18" t="n">
        <v>36</v>
      </c>
    </row>
    <row r="1238" customFormat="false" ht="15" hidden="false" customHeight="true" outlineLevel="0" collapsed="false">
      <c r="A1238" s="18" t="s">
        <v>232</v>
      </c>
      <c r="B1238" s="18" t="s">
        <v>306</v>
      </c>
      <c r="C1238" s="18" t="n">
        <v>94</v>
      </c>
      <c r="D1238" s="30" t="n">
        <v>2189.97</v>
      </c>
      <c r="E1238" s="18" t="n">
        <v>37</v>
      </c>
    </row>
    <row r="1239" customFormat="false" ht="15" hidden="false" customHeight="true" outlineLevel="0" collapsed="false">
      <c r="A1239" s="18" t="s">
        <v>232</v>
      </c>
      <c r="B1239" s="18" t="s">
        <v>307</v>
      </c>
      <c r="C1239" s="18" t="n">
        <v>100</v>
      </c>
      <c r="D1239" s="30" t="n">
        <v>2429.59</v>
      </c>
      <c r="E1239" s="18" t="n">
        <v>38</v>
      </c>
    </row>
    <row r="1240" customFormat="false" ht="15" hidden="false" customHeight="true" outlineLevel="0" collapsed="false">
      <c r="A1240" s="18" t="s">
        <v>232</v>
      </c>
      <c r="B1240" s="18" t="s">
        <v>308</v>
      </c>
      <c r="C1240" s="18" t="n">
        <v>72</v>
      </c>
      <c r="D1240" s="30" t="n">
        <v>1734.35</v>
      </c>
      <c r="E1240" s="18" t="n">
        <v>39</v>
      </c>
    </row>
    <row r="1241" customFormat="false" ht="15" hidden="false" customHeight="true" outlineLevel="0" collapsed="false">
      <c r="A1241" s="18" t="s">
        <v>232</v>
      </c>
      <c r="B1241" s="18" t="s">
        <v>309</v>
      </c>
      <c r="C1241" s="18" t="n">
        <v>94</v>
      </c>
      <c r="D1241" s="30" t="n">
        <v>2170.18</v>
      </c>
      <c r="E1241" s="18" t="n">
        <v>40</v>
      </c>
    </row>
    <row r="1242" customFormat="false" ht="15" hidden="false" customHeight="true" outlineLevel="0" collapsed="false">
      <c r="A1242" s="18" t="s">
        <v>232</v>
      </c>
      <c r="B1242" s="18" t="s">
        <v>310</v>
      </c>
      <c r="C1242" s="18" t="n">
        <v>63</v>
      </c>
      <c r="D1242" s="30" t="n">
        <v>1514.43</v>
      </c>
      <c r="E1242" s="18" t="n">
        <v>41</v>
      </c>
    </row>
    <row r="1243" customFormat="false" ht="15" hidden="false" customHeight="true" outlineLevel="0" collapsed="false">
      <c r="A1243" s="18" t="s">
        <v>232</v>
      </c>
      <c r="B1243" s="18" t="s">
        <v>311</v>
      </c>
      <c r="C1243" s="18" t="n">
        <v>42</v>
      </c>
      <c r="D1243" s="30" t="n">
        <v>1004.56</v>
      </c>
      <c r="E1243" s="18" t="n">
        <v>42</v>
      </c>
    </row>
    <row r="1244" customFormat="false" ht="15" hidden="false" customHeight="true" outlineLevel="0" collapsed="false">
      <c r="A1244" s="18" t="s">
        <v>232</v>
      </c>
      <c r="B1244" s="18" t="s">
        <v>312</v>
      </c>
      <c r="C1244" s="18" t="n">
        <v>65</v>
      </c>
      <c r="D1244" s="30" t="n">
        <v>1554.53</v>
      </c>
      <c r="E1244" s="18" t="n">
        <v>43</v>
      </c>
    </row>
    <row r="1245" customFormat="false" ht="15" hidden="false" customHeight="true" outlineLevel="0" collapsed="false">
      <c r="A1245" s="18" t="s">
        <v>232</v>
      </c>
      <c r="B1245" s="18" t="s">
        <v>313</v>
      </c>
      <c r="C1245" s="18" t="n">
        <v>100</v>
      </c>
      <c r="D1245" s="30" t="n">
        <v>2407.16</v>
      </c>
      <c r="E1245" s="18" t="n">
        <v>44</v>
      </c>
    </row>
    <row r="1246" customFormat="false" ht="15" hidden="false" customHeight="true" outlineLevel="0" collapsed="false">
      <c r="A1246" s="18" t="s">
        <v>232</v>
      </c>
      <c r="B1246" s="18" t="s">
        <v>314</v>
      </c>
      <c r="C1246" s="18" t="n">
        <v>31</v>
      </c>
      <c r="D1246" s="30" t="n">
        <v>724.55</v>
      </c>
      <c r="E1246" s="18" t="n">
        <v>45</v>
      </c>
    </row>
    <row r="1247" customFormat="false" ht="15" hidden="false" customHeight="true" outlineLevel="0" collapsed="false">
      <c r="A1247" s="18" t="s">
        <v>232</v>
      </c>
      <c r="B1247" s="18" t="s">
        <v>315</v>
      </c>
      <c r="C1247" s="18" t="n">
        <v>72</v>
      </c>
      <c r="D1247" s="30" t="n">
        <v>1752.13</v>
      </c>
      <c r="E1247" s="18" t="n">
        <v>46</v>
      </c>
    </row>
    <row r="1248" customFormat="false" ht="15" hidden="false" customHeight="true" outlineLevel="0" collapsed="false">
      <c r="A1248" s="18" t="s">
        <v>232</v>
      </c>
      <c r="B1248" s="18" t="s">
        <v>316</v>
      </c>
      <c r="C1248" s="18" t="n">
        <v>58</v>
      </c>
      <c r="D1248" s="30" t="n">
        <v>1377.48</v>
      </c>
      <c r="E1248" s="18" t="n">
        <v>47</v>
      </c>
    </row>
    <row r="1249" customFormat="false" ht="15" hidden="false" customHeight="true" outlineLevel="0" collapsed="false">
      <c r="A1249" s="18" t="s">
        <v>232</v>
      </c>
      <c r="B1249" s="18" t="s">
        <v>317</v>
      </c>
      <c r="C1249" s="18" t="n">
        <v>40</v>
      </c>
      <c r="D1249" s="30" t="n">
        <v>927.96</v>
      </c>
      <c r="E1249" s="18" t="n">
        <v>48</v>
      </c>
    </row>
    <row r="1250" customFormat="false" ht="15" hidden="false" customHeight="true" outlineLevel="0" collapsed="false">
      <c r="A1250" s="18" t="s">
        <v>232</v>
      </c>
      <c r="B1250" s="18" t="s">
        <v>318</v>
      </c>
      <c r="C1250" s="18" t="n">
        <v>22</v>
      </c>
      <c r="D1250" s="30" t="n">
        <v>508.03</v>
      </c>
      <c r="E1250" s="18" t="n">
        <v>49</v>
      </c>
    </row>
    <row r="1251" customFormat="false" ht="15" hidden="false" customHeight="true" outlineLevel="0" collapsed="false">
      <c r="A1251" s="18" t="s">
        <v>232</v>
      </c>
      <c r="B1251" s="18" t="s">
        <v>319</v>
      </c>
      <c r="C1251" s="18" t="n">
        <v>17</v>
      </c>
      <c r="D1251" s="30" t="n">
        <v>397.7</v>
      </c>
      <c r="E1251" s="18" t="n">
        <v>50</v>
      </c>
    </row>
    <row r="1252" customFormat="false" ht="15" hidden="false" customHeight="true" outlineLevel="0" collapsed="false">
      <c r="A1252" s="18" t="s">
        <v>232</v>
      </c>
      <c r="B1252" s="18" t="s">
        <v>320</v>
      </c>
      <c r="C1252" s="18" t="n">
        <v>47</v>
      </c>
      <c r="D1252" s="30" t="n">
        <v>1095.9</v>
      </c>
      <c r="E1252" s="18" t="n">
        <v>51</v>
      </c>
    </row>
    <row r="1253" customFormat="false" ht="15" hidden="false" customHeight="true" outlineLevel="0" collapsed="false">
      <c r="A1253" s="18" t="s">
        <v>232</v>
      </c>
      <c r="B1253" s="18" t="s">
        <v>321</v>
      </c>
      <c r="C1253" s="18" t="n">
        <v>65</v>
      </c>
      <c r="D1253" s="30" t="n">
        <v>1538.77</v>
      </c>
      <c r="E1253" s="18" t="n">
        <v>52</v>
      </c>
    </row>
    <row r="1254" customFormat="false" ht="15" hidden="false" customHeight="true" outlineLevel="0" collapsed="false">
      <c r="A1254" s="18" t="s">
        <v>234</v>
      </c>
      <c r="B1254" s="18" t="s">
        <v>270</v>
      </c>
      <c r="C1254" s="18" t="n">
        <v>98</v>
      </c>
      <c r="D1254" s="30" t="n">
        <v>1242.35</v>
      </c>
      <c r="E1254" s="18" t="n">
        <v>1</v>
      </c>
    </row>
    <row r="1255" customFormat="false" ht="15" hidden="false" customHeight="true" outlineLevel="0" collapsed="false">
      <c r="A1255" s="18" t="s">
        <v>234</v>
      </c>
      <c r="B1255" s="18" t="s">
        <v>271</v>
      </c>
      <c r="C1255" s="18" t="n">
        <v>94</v>
      </c>
      <c r="D1255" s="30" t="n">
        <v>1201.25</v>
      </c>
      <c r="E1255" s="18" t="n">
        <v>2</v>
      </c>
    </row>
    <row r="1256" customFormat="false" ht="15" hidden="false" customHeight="true" outlineLevel="0" collapsed="false">
      <c r="A1256" s="18" t="s">
        <v>234</v>
      </c>
      <c r="B1256" s="18" t="s">
        <v>272</v>
      </c>
      <c r="C1256" s="18" t="n">
        <v>71</v>
      </c>
      <c r="D1256" s="30" t="n">
        <v>876.68</v>
      </c>
      <c r="E1256" s="18" t="n">
        <v>3</v>
      </c>
    </row>
    <row r="1257" customFormat="false" ht="15" hidden="false" customHeight="true" outlineLevel="0" collapsed="false">
      <c r="A1257" s="18" t="s">
        <v>234</v>
      </c>
      <c r="B1257" s="18" t="s">
        <v>273</v>
      </c>
      <c r="C1257" s="18" t="n">
        <v>122</v>
      </c>
      <c r="D1257" s="30" t="n">
        <v>1476.78</v>
      </c>
      <c r="E1257" s="18" t="n">
        <v>4</v>
      </c>
    </row>
    <row r="1258" customFormat="false" ht="15" hidden="false" customHeight="true" outlineLevel="0" collapsed="false">
      <c r="A1258" s="18" t="s">
        <v>234</v>
      </c>
      <c r="B1258" s="18" t="s">
        <v>274</v>
      </c>
      <c r="C1258" s="18" t="n">
        <v>56</v>
      </c>
      <c r="D1258" s="30" t="n">
        <v>718</v>
      </c>
      <c r="E1258" s="18" t="n">
        <v>5</v>
      </c>
    </row>
    <row r="1259" customFormat="false" ht="15" hidden="false" customHeight="true" outlineLevel="0" collapsed="false">
      <c r="A1259" s="18" t="s">
        <v>234</v>
      </c>
      <c r="B1259" s="18" t="s">
        <v>275</v>
      </c>
      <c r="C1259" s="18" t="n">
        <v>22</v>
      </c>
      <c r="D1259" s="30" t="n">
        <v>275.86</v>
      </c>
      <c r="E1259" s="18" t="n">
        <v>6</v>
      </c>
    </row>
    <row r="1260" customFormat="false" ht="15" hidden="false" customHeight="true" outlineLevel="0" collapsed="false">
      <c r="A1260" s="18" t="s">
        <v>234</v>
      </c>
      <c r="B1260" s="18" t="s">
        <v>276</v>
      </c>
      <c r="C1260" s="18" t="n">
        <v>109</v>
      </c>
      <c r="D1260" s="30" t="n">
        <v>1362.73</v>
      </c>
      <c r="E1260" s="18" t="n">
        <v>7</v>
      </c>
    </row>
    <row r="1261" customFormat="false" ht="15" hidden="false" customHeight="true" outlineLevel="0" collapsed="false">
      <c r="A1261" s="18" t="s">
        <v>234</v>
      </c>
      <c r="B1261" s="18" t="s">
        <v>277</v>
      </c>
      <c r="C1261" s="18" t="n">
        <v>159</v>
      </c>
      <c r="D1261" s="30" t="n">
        <v>1956.97</v>
      </c>
      <c r="E1261" s="18" t="n">
        <v>8</v>
      </c>
    </row>
    <row r="1262" customFormat="false" ht="15" hidden="false" customHeight="true" outlineLevel="0" collapsed="false">
      <c r="A1262" s="18" t="s">
        <v>234</v>
      </c>
      <c r="B1262" s="18" t="s">
        <v>278</v>
      </c>
      <c r="C1262" s="18" t="n">
        <v>9</v>
      </c>
      <c r="D1262" s="30" t="n">
        <v>110.1</v>
      </c>
      <c r="E1262" s="18" t="n">
        <v>9</v>
      </c>
    </row>
    <row r="1263" customFormat="false" ht="15" hidden="false" customHeight="true" outlineLevel="0" collapsed="false">
      <c r="A1263" s="18" t="s">
        <v>234</v>
      </c>
      <c r="B1263" s="18" t="s">
        <v>279</v>
      </c>
      <c r="C1263" s="18" t="n">
        <v>67</v>
      </c>
      <c r="D1263" s="30" t="n">
        <v>843.05</v>
      </c>
      <c r="E1263" s="18" t="n">
        <v>10</v>
      </c>
    </row>
    <row r="1264" customFormat="false" ht="15" hidden="false" customHeight="true" outlineLevel="0" collapsed="false">
      <c r="A1264" s="18" t="s">
        <v>234</v>
      </c>
      <c r="B1264" s="18" t="s">
        <v>280</v>
      </c>
      <c r="C1264" s="18" t="n">
        <v>102</v>
      </c>
      <c r="D1264" s="30" t="n">
        <v>1304.8</v>
      </c>
      <c r="E1264" s="18" t="n">
        <v>11</v>
      </c>
    </row>
    <row r="1265" customFormat="false" ht="15" hidden="false" customHeight="true" outlineLevel="0" collapsed="false">
      <c r="A1265" s="18" t="s">
        <v>234</v>
      </c>
      <c r="B1265" s="18" t="s">
        <v>281</v>
      </c>
      <c r="C1265" s="18" t="n">
        <v>98</v>
      </c>
      <c r="D1265" s="30" t="n">
        <v>1245.49</v>
      </c>
      <c r="E1265" s="18" t="n">
        <v>12</v>
      </c>
    </row>
    <row r="1266" customFormat="false" ht="15" hidden="false" customHeight="true" outlineLevel="0" collapsed="false">
      <c r="A1266" s="18" t="s">
        <v>234</v>
      </c>
      <c r="B1266" s="18" t="s">
        <v>282</v>
      </c>
      <c r="C1266" s="18" t="n">
        <v>125</v>
      </c>
      <c r="D1266" s="30" t="n">
        <v>1578.39</v>
      </c>
      <c r="E1266" s="18" t="n">
        <v>13</v>
      </c>
    </row>
    <row r="1267" customFormat="false" ht="15" hidden="false" customHeight="true" outlineLevel="0" collapsed="false">
      <c r="A1267" s="18" t="s">
        <v>234</v>
      </c>
      <c r="B1267" s="18" t="s">
        <v>283</v>
      </c>
      <c r="C1267" s="18" t="n">
        <v>197</v>
      </c>
      <c r="D1267" s="30" t="n">
        <v>2511.88</v>
      </c>
      <c r="E1267" s="18" t="n">
        <v>14</v>
      </c>
    </row>
    <row r="1268" customFormat="false" ht="15" hidden="false" customHeight="true" outlineLevel="0" collapsed="false">
      <c r="A1268" s="18" t="s">
        <v>234</v>
      </c>
      <c r="B1268" s="18" t="s">
        <v>285</v>
      </c>
      <c r="C1268" s="18" t="n">
        <v>181</v>
      </c>
      <c r="D1268" s="30" t="n">
        <v>2271.46</v>
      </c>
      <c r="E1268" s="18" t="n">
        <v>15</v>
      </c>
    </row>
    <row r="1269" customFormat="false" ht="15" hidden="false" customHeight="true" outlineLevel="0" collapsed="false">
      <c r="A1269" s="18" t="s">
        <v>234</v>
      </c>
      <c r="B1269" s="18" t="s">
        <v>286</v>
      </c>
      <c r="C1269" s="18" t="n">
        <v>168</v>
      </c>
      <c r="D1269" s="30" t="n">
        <v>2062.44</v>
      </c>
      <c r="E1269" s="18" t="n">
        <v>16</v>
      </c>
    </row>
    <row r="1270" customFormat="false" ht="15" hidden="false" customHeight="true" outlineLevel="0" collapsed="false">
      <c r="A1270" s="18" t="s">
        <v>234</v>
      </c>
      <c r="B1270" s="18" t="s">
        <v>287</v>
      </c>
      <c r="C1270" s="18" t="n">
        <v>117</v>
      </c>
      <c r="D1270" s="30" t="n">
        <v>1463.27</v>
      </c>
      <c r="E1270" s="18" t="n">
        <v>17</v>
      </c>
    </row>
    <row r="1271" customFormat="false" ht="15" hidden="false" customHeight="true" outlineLevel="0" collapsed="false">
      <c r="A1271" s="18" t="s">
        <v>234</v>
      </c>
      <c r="B1271" s="18" t="s">
        <v>288</v>
      </c>
      <c r="C1271" s="18" t="n">
        <v>82</v>
      </c>
      <c r="D1271" s="30" t="n">
        <v>1029.31</v>
      </c>
      <c r="E1271" s="18" t="n">
        <v>18</v>
      </c>
    </row>
    <row r="1272" customFormat="false" ht="15" hidden="false" customHeight="true" outlineLevel="0" collapsed="false">
      <c r="A1272" s="18" t="s">
        <v>234</v>
      </c>
      <c r="B1272" s="18" t="s">
        <v>289</v>
      </c>
      <c r="C1272" s="18" t="n">
        <v>41</v>
      </c>
      <c r="D1272" s="30" t="n">
        <v>521.14</v>
      </c>
      <c r="E1272" s="18" t="n">
        <v>19</v>
      </c>
    </row>
    <row r="1273" customFormat="false" ht="15" hidden="false" customHeight="true" outlineLevel="0" collapsed="false">
      <c r="A1273" s="18" t="s">
        <v>234</v>
      </c>
      <c r="B1273" s="18" t="s">
        <v>290</v>
      </c>
      <c r="C1273" s="18" t="n">
        <v>113</v>
      </c>
      <c r="D1273" s="30" t="n">
        <v>1413.25</v>
      </c>
      <c r="E1273" s="18" t="n">
        <v>20</v>
      </c>
    </row>
    <row r="1274" customFormat="false" ht="15" hidden="false" customHeight="true" outlineLevel="0" collapsed="false">
      <c r="A1274" s="18" t="s">
        <v>234</v>
      </c>
      <c r="B1274" s="18" t="s">
        <v>291</v>
      </c>
      <c r="C1274" s="18" t="n">
        <v>86</v>
      </c>
      <c r="D1274" s="30" t="n">
        <v>1070.68</v>
      </c>
      <c r="E1274" s="18" t="n">
        <v>21</v>
      </c>
    </row>
    <row r="1275" customFormat="false" ht="15" hidden="false" customHeight="true" outlineLevel="0" collapsed="false">
      <c r="A1275" s="18" t="s">
        <v>234</v>
      </c>
      <c r="B1275" s="18" t="s">
        <v>292</v>
      </c>
      <c r="C1275" s="18" t="n">
        <v>60</v>
      </c>
      <c r="D1275" s="30" t="n">
        <v>735.19</v>
      </c>
      <c r="E1275" s="18" t="n">
        <v>22</v>
      </c>
    </row>
    <row r="1276" customFormat="false" ht="15" hidden="false" customHeight="true" outlineLevel="0" collapsed="false">
      <c r="A1276" s="18" t="s">
        <v>234</v>
      </c>
      <c r="B1276" s="18" t="s">
        <v>293</v>
      </c>
      <c r="C1276" s="18" t="n">
        <v>125</v>
      </c>
      <c r="D1276" s="30" t="n">
        <v>1521.16</v>
      </c>
      <c r="E1276" s="18" t="n">
        <v>23</v>
      </c>
    </row>
    <row r="1277" customFormat="false" ht="15" hidden="false" customHeight="true" outlineLevel="0" collapsed="false">
      <c r="A1277" s="18" t="s">
        <v>234</v>
      </c>
      <c r="B1277" s="18" t="s">
        <v>294</v>
      </c>
      <c r="C1277" s="18" t="n">
        <v>142</v>
      </c>
      <c r="D1277" s="30" t="n">
        <v>1780.74</v>
      </c>
      <c r="E1277" s="18" t="n">
        <v>24</v>
      </c>
    </row>
    <row r="1278" customFormat="false" ht="15" hidden="false" customHeight="true" outlineLevel="0" collapsed="false">
      <c r="A1278" s="18" t="s">
        <v>234</v>
      </c>
      <c r="B1278" s="18" t="s">
        <v>295</v>
      </c>
      <c r="C1278" s="18" t="n">
        <v>0</v>
      </c>
      <c r="D1278" s="30" t="n">
        <v>0</v>
      </c>
      <c r="E1278" s="18" t="n">
        <v>25</v>
      </c>
    </row>
    <row r="1279" customFormat="false" ht="15" hidden="false" customHeight="true" outlineLevel="0" collapsed="false">
      <c r="A1279" s="18" t="s">
        <v>234</v>
      </c>
      <c r="B1279" s="18" t="s">
        <v>296</v>
      </c>
      <c r="C1279" s="18" t="n">
        <v>70</v>
      </c>
      <c r="D1279" s="30" t="n">
        <v>877.61</v>
      </c>
      <c r="E1279" s="18" t="n">
        <v>26</v>
      </c>
    </row>
    <row r="1280" customFormat="false" ht="15" hidden="false" customHeight="true" outlineLevel="0" collapsed="false">
      <c r="A1280" s="18" t="s">
        <v>234</v>
      </c>
      <c r="B1280" s="18" t="s">
        <v>297</v>
      </c>
      <c r="C1280" s="18" t="n">
        <v>209</v>
      </c>
      <c r="D1280" s="30" t="n">
        <v>2540.48</v>
      </c>
      <c r="E1280" s="18" t="n">
        <v>27</v>
      </c>
    </row>
    <row r="1281" customFormat="false" ht="15" hidden="false" customHeight="true" outlineLevel="0" collapsed="false">
      <c r="A1281" s="18" t="s">
        <v>234</v>
      </c>
      <c r="B1281" s="18" t="s">
        <v>298</v>
      </c>
      <c r="C1281" s="18" t="n">
        <v>108</v>
      </c>
      <c r="D1281" s="30" t="n">
        <v>1330.03</v>
      </c>
      <c r="E1281" s="18" t="n">
        <v>28</v>
      </c>
    </row>
    <row r="1282" customFormat="false" ht="15" hidden="false" customHeight="true" outlineLevel="0" collapsed="false">
      <c r="A1282" s="18" t="s">
        <v>234</v>
      </c>
      <c r="B1282" s="18" t="s">
        <v>299</v>
      </c>
      <c r="C1282" s="18" t="n">
        <v>102</v>
      </c>
      <c r="D1282" s="30" t="n">
        <v>1291.94</v>
      </c>
      <c r="E1282" s="18" t="n">
        <v>29</v>
      </c>
    </row>
    <row r="1283" customFormat="false" ht="15" hidden="false" customHeight="true" outlineLevel="0" collapsed="false">
      <c r="A1283" s="18" t="s">
        <v>234</v>
      </c>
      <c r="B1283" s="18" t="s">
        <v>300</v>
      </c>
      <c r="C1283" s="18" t="n">
        <v>235</v>
      </c>
      <c r="D1283" s="30" t="n">
        <v>2891.52</v>
      </c>
      <c r="E1283" s="18" t="n">
        <v>30</v>
      </c>
    </row>
    <row r="1284" customFormat="false" ht="15" hidden="false" customHeight="true" outlineLevel="0" collapsed="false">
      <c r="A1284" s="18" t="s">
        <v>234</v>
      </c>
      <c r="B1284" s="18" t="s">
        <v>301</v>
      </c>
      <c r="C1284" s="18" t="n">
        <v>174</v>
      </c>
      <c r="D1284" s="30" t="n">
        <v>2228.12</v>
      </c>
      <c r="E1284" s="18" t="n">
        <v>31</v>
      </c>
    </row>
    <row r="1285" customFormat="false" ht="15" hidden="false" customHeight="true" outlineLevel="0" collapsed="false">
      <c r="A1285" s="18" t="s">
        <v>234</v>
      </c>
      <c r="B1285" s="18" t="s">
        <v>302</v>
      </c>
      <c r="C1285" s="18" t="n">
        <v>29</v>
      </c>
      <c r="D1285" s="30" t="n">
        <v>357.86</v>
      </c>
      <c r="E1285" s="18" t="n">
        <v>32</v>
      </c>
    </row>
    <row r="1286" customFormat="false" ht="15" hidden="false" customHeight="true" outlineLevel="0" collapsed="false">
      <c r="A1286" s="18" t="s">
        <v>234</v>
      </c>
      <c r="B1286" s="18" t="s">
        <v>303</v>
      </c>
      <c r="C1286" s="18" t="n">
        <v>98</v>
      </c>
      <c r="D1286" s="30" t="n">
        <v>1239.83</v>
      </c>
      <c r="E1286" s="18" t="n">
        <v>33</v>
      </c>
    </row>
    <row r="1287" customFormat="false" ht="15" hidden="false" customHeight="true" outlineLevel="0" collapsed="false">
      <c r="A1287" s="18" t="s">
        <v>234</v>
      </c>
      <c r="B1287" s="18" t="s">
        <v>304</v>
      </c>
      <c r="C1287" s="18" t="n">
        <v>0</v>
      </c>
      <c r="D1287" s="30" t="n">
        <v>0</v>
      </c>
      <c r="E1287" s="18" t="n">
        <v>34</v>
      </c>
    </row>
    <row r="1288" customFormat="false" ht="15" hidden="false" customHeight="true" outlineLevel="0" collapsed="false">
      <c r="A1288" s="18" t="s">
        <v>234</v>
      </c>
      <c r="B1288" s="18" t="s">
        <v>305</v>
      </c>
      <c r="C1288" s="18" t="n">
        <v>127</v>
      </c>
      <c r="D1288" s="30" t="n">
        <v>1561.54</v>
      </c>
      <c r="E1288" s="18" t="n">
        <v>35</v>
      </c>
    </row>
    <row r="1289" customFormat="false" ht="15" hidden="false" customHeight="true" outlineLevel="0" collapsed="false">
      <c r="A1289" s="18" t="s">
        <v>234</v>
      </c>
      <c r="B1289" s="18" t="s">
        <v>306</v>
      </c>
      <c r="C1289" s="18" t="n">
        <v>262</v>
      </c>
      <c r="D1289" s="30" t="n">
        <v>3287.22</v>
      </c>
      <c r="E1289" s="18" t="n">
        <v>36</v>
      </c>
    </row>
    <row r="1290" customFormat="false" ht="15" hidden="false" customHeight="true" outlineLevel="0" collapsed="false">
      <c r="A1290" s="18" t="s">
        <v>234</v>
      </c>
      <c r="B1290" s="18" t="s">
        <v>307</v>
      </c>
      <c r="C1290" s="18" t="n">
        <v>110</v>
      </c>
      <c r="D1290" s="30" t="n">
        <v>1395.56</v>
      </c>
      <c r="E1290" s="18" t="n">
        <v>37</v>
      </c>
    </row>
    <row r="1291" customFormat="false" ht="15" hidden="false" customHeight="true" outlineLevel="0" collapsed="false">
      <c r="A1291" s="18" t="s">
        <v>234</v>
      </c>
      <c r="B1291" s="18" t="s">
        <v>308</v>
      </c>
      <c r="C1291" s="18" t="n">
        <v>56</v>
      </c>
      <c r="D1291" s="30" t="n">
        <v>688.01</v>
      </c>
      <c r="E1291" s="18" t="n">
        <v>38</v>
      </c>
    </row>
    <row r="1292" customFormat="false" ht="15" hidden="false" customHeight="true" outlineLevel="0" collapsed="false">
      <c r="A1292" s="18" t="s">
        <v>234</v>
      </c>
      <c r="B1292" s="18" t="s">
        <v>309</v>
      </c>
      <c r="C1292" s="18" t="n">
        <v>0</v>
      </c>
      <c r="D1292" s="30" t="n">
        <v>0</v>
      </c>
      <c r="E1292" s="18" t="n">
        <v>39</v>
      </c>
    </row>
    <row r="1293" customFormat="false" ht="15" hidden="false" customHeight="true" outlineLevel="0" collapsed="false">
      <c r="A1293" s="18" t="s">
        <v>234</v>
      </c>
      <c r="B1293" s="18" t="s">
        <v>310</v>
      </c>
      <c r="C1293" s="18" t="n">
        <v>225</v>
      </c>
      <c r="D1293" s="30" t="n">
        <v>2722.42</v>
      </c>
      <c r="E1293" s="18" t="n">
        <v>40</v>
      </c>
    </row>
    <row r="1294" customFormat="false" ht="15" hidden="false" customHeight="true" outlineLevel="0" collapsed="false">
      <c r="A1294" s="18" t="s">
        <v>234</v>
      </c>
      <c r="B1294" s="18" t="s">
        <v>311</v>
      </c>
      <c r="C1294" s="18" t="n">
        <v>154</v>
      </c>
      <c r="D1294" s="30" t="n">
        <v>1936</v>
      </c>
      <c r="E1294" s="18" t="n">
        <v>41</v>
      </c>
    </row>
    <row r="1295" customFormat="false" ht="15" hidden="false" customHeight="true" outlineLevel="0" collapsed="false">
      <c r="A1295" s="18" t="s">
        <v>234</v>
      </c>
      <c r="B1295" s="18" t="s">
        <v>312</v>
      </c>
      <c r="C1295" s="18" t="n">
        <v>86</v>
      </c>
      <c r="D1295" s="30" t="n">
        <v>1099.72</v>
      </c>
      <c r="E1295" s="18" t="n">
        <v>42</v>
      </c>
    </row>
    <row r="1296" customFormat="false" ht="15" hidden="false" customHeight="true" outlineLevel="0" collapsed="false">
      <c r="A1296" s="18" t="s">
        <v>234</v>
      </c>
      <c r="B1296" s="18" t="s">
        <v>313</v>
      </c>
      <c r="C1296" s="18" t="n">
        <v>91</v>
      </c>
      <c r="D1296" s="30" t="n">
        <v>1131.19</v>
      </c>
      <c r="E1296" s="18" t="n">
        <v>43</v>
      </c>
    </row>
    <row r="1297" customFormat="false" ht="15" hidden="false" customHeight="true" outlineLevel="0" collapsed="false">
      <c r="A1297" s="18" t="s">
        <v>234</v>
      </c>
      <c r="B1297" s="18" t="s">
        <v>314</v>
      </c>
      <c r="C1297" s="18" t="n">
        <v>40</v>
      </c>
      <c r="D1297" s="30" t="n">
        <v>503.07</v>
      </c>
      <c r="E1297" s="18" t="n">
        <v>44</v>
      </c>
    </row>
    <row r="1298" customFormat="false" ht="15" hidden="false" customHeight="true" outlineLevel="0" collapsed="false">
      <c r="A1298" s="18" t="s">
        <v>234</v>
      </c>
      <c r="B1298" s="18" t="s">
        <v>315</v>
      </c>
      <c r="C1298" s="18" t="n">
        <v>49</v>
      </c>
      <c r="D1298" s="30" t="n">
        <v>601.82</v>
      </c>
      <c r="E1298" s="18" t="n">
        <v>45</v>
      </c>
    </row>
    <row r="1299" customFormat="false" ht="15" hidden="false" customHeight="true" outlineLevel="0" collapsed="false">
      <c r="A1299" s="18" t="s">
        <v>234</v>
      </c>
      <c r="B1299" s="18" t="s">
        <v>316</v>
      </c>
      <c r="C1299" s="18" t="n">
        <v>77</v>
      </c>
      <c r="D1299" s="30" t="n">
        <v>937</v>
      </c>
      <c r="E1299" s="18" t="n">
        <v>46</v>
      </c>
    </row>
    <row r="1300" customFormat="false" ht="15" hidden="false" customHeight="true" outlineLevel="0" collapsed="false">
      <c r="A1300" s="18" t="s">
        <v>234</v>
      </c>
      <c r="B1300" s="18" t="s">
        <v>317</v>
      </c>
      <c r="C1300" s="18" t="n">
        <v>73</v>
      </c>
      <c r="D1300" s="30" t="n">
        <v>925.76</v>
      </c>
      <c r="E1300" s="18" t="n">
        <v>47</v>
      </c>
    </row>
    <row r="1301" customFormat="false" ht="15" hidden="false" customHeight="true" outlineLevel="0" collapsed="false">
      <c r="A1301" s="18" t="s">
        <v>234</v>
      </c>
      <c r="B1301" s="18" t="s">
        <v>318</v>
      </c>
      <c r="C1301" s="18" t="n">
        <v>12</v>
      </c>
      <c r="D1301" s="30" t="n">
        <v>149.6</v>
      </c>
      <c r="E1301" s="18" t="n">
        <v>48</v>
      </c>
    </row>
    <row r="1302" customFormat="false" ht="15" hidden="false" customHeight="true" outlineLevel="0" collapsed="false">
      <c r="A1302" s="18" t="s">
        <v>234</v>
      </c>
      <c r="B1302" s="18" t="s">
        <v>319</v>
      </c>
      <c r="C1302" s="18" t="n">
        <v>176</v>
      </c>
      <c r="D1302" s="30" t="n">
        <v>2148.85</v>
      </c>
      <c r="E1302" s="18" t="n">
        <v>49</v>
      </c>
    </row>
    <row r="1303" customFormat="false" ht="15" hidden="false" customHeight="true" outlineLevel="0" collapsed="false">
      <c r="A1303" s="18" t="s">
        <v>234</v>
      </c>
      <c r="B1303" s="18" t="s">
        <v>320</v>
      </c>
      <c r="C1303" s="18" t="n">
        <v>196</v>
      </c>
      <c r="D1303" s="30" t="n">
        <v>2410.38</v>
      </c>
      <c r="E1303" s="18" t="n">
        <v>50</v>
      </c>
    </row>
    <row r="1304" customFormat="false" ht="15" hidden="false" customHeight="true" outlineLevel="0" collapsed="false">
      <c r="A1304" s="18" t="s">
        <v>234</v>
      </c>
      <c r="B1304" s="18" t="s">
        <v>321</v>
      </c>
      <c r="C1304" s="18" t="n">
        <v>195</v>
      </c>
      <c r="D1304" s="30" t="n">
        <v>2423.17</v>
      </c>
      <c r="E1304" s="18" t="n">
        <v>51</v>
      </c>
    </row>
    <row r="1305" customFormat="false" ht="15" hidden="false" customHeight="true" outlineLevel="0" collapsed="false">
      <c r="A1305" s="18" t="s">
        <v>236</v>
      </c>
      <c r="B1305" s="18" t="s">
        <v>302</v>
      </c>
      <c r="C1305" s="18" t="n">
        <v>38</v>
      </c>
      <c r="D1305" s="30" t="n">
        <v>454.38</v>
      </c>
      <c r="E1305" s="18" t="n">
        <v>1</v>
      </c>
    </row>
    <row r="1306" customFormat="false" ht="15" hidden="false" customHeight="true" outlineLevel="0" collapsed="false">
      <c r="A1306" s="18" t="s">
        <v>236</v>
      </c>
      <c r="B1306" s="18" t="s">
        <v>303</v>
      </c>
      <c r="C1306" s="18" t="n">
        <v>191</v>
      </c>
      <c r="D1306" s="30" t="n">
        <v>2321.09</v>
      </c>
      <c r="E1306" s="18" t="n">
        <v>2</v>
      </c>
    </row>
    <row r="1307" customFormat="false" ht="15" hidden="false" customHeight="true" outlineLevel="0" collapsed="false">
      <c r="A1307" s="18" t="s">
        <v>236</v>
      </c>
      <c r="B1307" s="18" t="s">
        <v>304</v>
      </c>
      <c r="C1307" s="18" t="n">
        <v>59</v>
      </c>
      <c r="D1307" s="30" t="n">
        <v>739.23</v>
      </c>
      <c r="E1307" s="18" t="n">
        <v>3</v>
      </c>
    </row>
    <row r="1308" customFormat="false" ht="15" hidden="false" customHeight="true" outlineLevel="0" collapsed="false">
      <c r="A1308" s="18" t="s">
        <v>236</v>
      </c>
      <c r="B1308" s="18" t="s">
        <v>305</v>
      </c>
      <c r="C1308" s="18" t="n">
        <v>108</v>
      </c>
      <c r="D1308" s="30" t="n">
        <v>1334.18</v>
      </c>
      <c r="E1308" s="18" t="n">
        <v>4</v>
      </c>
    </row>
    <row r="1309" customFormat="false" ht="15" hidden="false" customHeight="true" outlineLevel="0" collapsed="false">
      <c r="A1309" s="18" t="s">
        <v>236</v>
      </c>
      <c r="B1309" s="18" t="s">
        <v>306</v>
      </c>
      <c r="C1309" s="18" t="n">
        <v>0</v>
      </c>
      <c r="D1309" s="30" t="n">
        <v>0</v>
      </c>
      <c r="E1309" s="18" t="n">
        <v>5</v>
      </c>
    </row>
    <row r="1310" customFormat="false" ht="15" hidden="false" customHeight="true" outlineLevel="0" collapsed="false">
      <c r="A1310" s="18" t="s">
        <v>236</v>
      </c>
      <c r="B1310" s="18" t="s">
        <v>307</v>
      </c>
      <c r="C1310" s="18" t="n">
        <v>0</v>
      </c>
      <c r="D1310" s="30" t="n">
        <v>0</v>
      </c>
      <c r="E1310" s="18" t="n">
        <v>6</v>
      </c>
    </row>
    <row r="1311" customFormat="false" ht="15" hidden="false" customHeight="true" outlineLevel="0" collapsed="false">
      <c r="A1311" s="18" t="s">
        <v>236</v>
      </c>
      <c r="B1311" s="18" t="s">
        <v>308</v>
      </c>
      <c r="C1311" s="18" t="n">
        <v>102</v>
      </c>
      <c r="D1311" s="30" t="n">
        <v>1214.58</v>
      </c>
      <c r="E1311" s="18" t="n">
        <v>7</v>
      </c>
    </row>
    <row r="1312" customFormat="false" ht="15" hidden="false" customHeight="true" outlineLevel="0" collapsed="false">
      <c r="A1312" s="18" t="s">
        <v>236</v>
      </c>
      <c r="B1312" s="18" t="s">
        <v>309</v>
      </c>
      <c r="C1312" s="18" t="n">
        <v>52</v>
      </c>
      <c r="D1312" s="30" t="n">
        <v>644.56</v>
      </c>
      <c r="E1312" s="18" t="n">
        <v>8</v>
      </c>
    </row>
    <row r="1313" customFormat="false" ht="15" hidden="false" customHeight="true" outlineLevel="0" collapsed="false">
      <c r="A1313" s="18" t="s">
        <v>236</v>
      </c>
      <c r="B1313" s="18" t="s">
        <v>310</v>
      </c>
      <c r="C1313" s="18" t="n">
        <v>70</v>
      </c>
      <c r="D1313" s="30" t="n">
        <v>843.89</v>
      </c>
      <c r="E1313" s="18" t="n">
        <v>9</v>
      </c>
    </row>
    <row r="1314" customFormat="false" ht="15" hidden="false" customHeight="true" outlineLevel="0" collapsed="false">
      <c r="A1314" s="18" t="s">
        <v>236</v>
      </c>
      <c r="B1314" s="18" t="s">
        <v>311</v>
      </c>
      <c r="C1314" s="18" t="n">
        <v>40</v>
      </c>
      <c r="D1314" s="30" t="n">
        <v>486.24</v>
      </c>
      <c r="E1314" s="18" t="n">
        <v>10</v>
      </c>
    </row>
    <row r="1315" customFormat="false" ht="15" hidden="false" customHeight="true" outlineLevel="0" collapsed="false">
      <c r="A1315" s="18" t="s">
        <v>236</v>
      </c>
      <c r="B1315" s="18" t="s">
        <v>312</v>
      </c>
      <c r="C1315" s="18" t="n">
        <v>103</v>
      </c>
      <c r="D1315" s="30" t="n">
        <v>1287.14</v>
      </c>
      <c r="E1315" s="18" t="n">
        <v>11</v>
      </c>
    </row>
    <row r="1316" customFormat="false" ht="15" hidden="false" customHeight="true" outlineLevel="0" collapsed="false">
      <c r="A1316" s="18" t="s">
        <v>236</v>
      </c>
      <c r="B1316" s="18" t="s">
        <v>313</v>
      </c>
      <c r="C1316" s="18" t="n">
        <v>0</v>
      </c>
      <c r="D1316" s="30" t="n">
        <v>0</v>
      </c>
      <c r="E1316" s="18" t="n">
        <v>12</v>
      </c>
    </row>
    <row r="1317" customFormat="false" ht="15" hidden="false" customHeight="true" outlineLevel="0" collapsed="false">
      <c r="A1317" s="18" t="s">
        <v>236</v>
      </c>
      <c r="B1317" s="18" t="s">
        <v>314</v>
      </c>
      <c r="C1317" s="18" t="n">
        <v>74</v>
      </c>
      <c r="D1317" s="30" t="n">
        <v>879.52</v>
      </c>
      <c r="E1317" s="18" t="n">
        <v>13</v>
      </c>
    </row>
    <row r="1318" customFormat="false" ht="15" hidden="false" customHeight="true" outlineLevel="0" collapsed="false">
      <c r="A1318" s="18" t="s">
        <v>236</v>
      </c>
      <c r="B1318" s="18" t="s">
        <v>315</v>
      </c>
      <c r="C1318" s="18" t="n">
        <v>52</v>
      </c>
      <c r="D1318" s="30" t="n">
        <v>624.66</v>
      </c>
      <c r="E1318" s="18" t="n">
        <v>14</v>
      </c>
    </row>
    <row r="1319" customFormat="false" ht="15" hidden="false" customHeight="true" outlineLevel="0" collapsed="false">
      <c r="A1319" s="18" t="s">
        <v>236</v>
      </c>
      <c r="B1319" s="18" t="s">
        <v>316</v>
      </c>
      <c r="C1319" s="18" t="n">
        <v>37</v>
      </c>
      <c r="D1319" s="30" t="n">
        <v>463.29</v>
      </c>
      <c r="E1319" s="18" t="n">
        <v>15</v>
      </c>
    </row>
    <row r="1320" customFormat="false" ht="15" hidden="false" customHeight="true" outlineLevel="0" collapsed="false">
      <c r="A1320" s="18" t="s">
        <v>236</v>
      </c>
      <c r="B1320" s="18" t="s">
        <v>317</v>
      </c>
      <c r="C1320" s="18" t="n">
        <v>7</v>
      </c>
      <c r="D1320" s="30" t="n">
        <v>87.68</v>
      </c>
      <c r="E1320" s="18" t="n">
        <v>16</v>
      </c>
    </row>
    <row r="1321" customFormat="false" ht="15" hidden="false" customHeight="true" outlineLevel="0" collapsed="false">
      <c r="A1321" s="18" t="s">
        <v>236</v>
      </c>
      <c r="B1321" s="18" t="s">
        <v>318</v>
      </c>
      <c r="C1321" s="18" t="n">
        <v>70</v>
      </c>
      <c r="D1321" s="30" t="n">
        <v>860.52</v>
      </c>
      <c r="E1321" s="18" t="n">
        <v>17</v>
      </c>
    </row>
    <row r="1322" customFormat="false" ht="15" hidden="false" customHeight="true" outlineLevel="0" collapsed="false">
      <c r="A1322" s="18" t="s">
        <v>236</v>
      </c>
      <c r="B1322" s="18" t="s">
        <v>319</v>
      </c>
      <c r="C1322" s="18" t="n">
        <v>84</v>
      </c>
      <c r="D1322" s="30" t="n">
        <v>1013.61</v>
      </c>
      <c r="E1322" s="18" t="n">
        <v>18</v>
      </c>
    </row>
    <row r="1323" customFormat="false" ht="15" hidden="false" customHeight="true" outlineLevel="0" collapsed="false">
      <c r="A1323" s="18" t="s">
        <v>236</v>
      </c>
      <c r="B1323" s="18" t="s">
        <v>320</v>
      </c>
      <c r="C1323" s="18" t="n">
        <v>78</v>
      </c>
      <c r="D1323" s="30" t="n">
        <v>932.95</v>
      </c>
      <c r="E1323" s="18" t="n">
        <v>19</v>
      </c>
    </row>
    <row r="1324" customFormat="false" ht="15" hidden="false" customHeight="true" outlineLevel="0" collapsed="false">
      <c r="A1324" s="18" t="s">
        <v>236</v>
      </c>
      <c r="B1324" s="18" t="s">
        <v>321</v>
      </c>
      <c r="C1324" s="18" t="n">
        <v>86</v>
      </c>
      <c r="D1324" s="30" t="n">
        <v>1035.87</v>
      </c>
      <c r="E1324" s="18" t="n">
        <v>20</v>
      </c>
    </row>
    <row r="1325" customFormat="false" ht="15" hidden="false" customHeight="true" outlineLevel="0" collapsed="false">
      <c r="A1325" s="18" t="s">
        <v>239</v>
      </c>
      <c r="B1325" s="18" t="s">
        <v>270</v>
      </c>
      <c r="C1325" s="18" t="n">
        <v>65</v>
      </c>
      <c r="D1325" s="30" t="n">
        <v>755.15</v>
      </c>
      <c r="E1325" s="18" t="n">
        <v>1</v>
      </c>
    </row>
    <row r="1326" customFormat="false" ht="15" hidden="false" customHeight="true" outlineLevel="0" collapsed="false">
      <c r="A1326" s="18" t="s">
        <v>239</v>
      </c>
      <c r="B1326" s="18" t="s">
        <v>271</v>
      </c>
      <c r="C1326" s="18" t="n">
        <v>60</v>
      </c>
      <c r="D1326" s="30" t="n">
        <v>701.81</v>
      </c>
      <c r="E1326" s="18" t="n">
        <v>2</v>
      </c>
    </row>
    <row r="1327" customFormat="false" ht="15" hidden="false" customHeight="true" outlineLevel="0" collapsed="false">
      <c r="A1327" s="18" t="s">
        <v>239</v>
      </c>
      <c r="B1327" s="18" t="s">
        <v>272</v>
      </c>
      <c r="C1327" s="18" t="n">
        <v>64</v>
      </c>
      <c r="D1327" s="30" t="n">
        <v>743.65</v>
      </c>
      <c r="E1327" s="18" t="n">
        <v>3</v>
      </c>
    </row>
    <row r="1328" customFormat="false" ht="15" hidden="false" customHeight="true" outlineLevel="0" collapsed="false">
      <c r="A1328" s="18" t="s">
        <v>239</v>
      </c>
      <c r="B1328" s="18" t="s">
        <v>273</v>
      </c>
      <c r="C1328" s="18" t="n">
        <v>86</v>
      </c>
      <c r="D1328" s="30" t="n">
        <v>1009.63</v>
      </c>
      <c r="E1328" s="18" t="n">
        <v>4</v>
      </c>
    </row>
    <row r="1329" customFormat="false" ht="15" hidden="false" customHeight="true" outlineLevel="0" collapsed="false">
      <c r="A1329" s="18" t="s">
        <v>239</v>
      </c>
      <c r="B1329" s="18" t="s">
        <v>274</v>
      </c>
      <c r="C1329" s="18" t="n">
        <v>109</v>
      </c>
      <c r="D1329" s="30" t="n">
        <v>1268.73</v>
      </c>
      <c r="E1329" s="18" t="n">
        <v>5</v>
      </c>
    </row>
    <row r="1330" customFormat="false" ht="15" hidden="false" customHeight="true" outlineLevel="0" collapsed="false">
      <c r="A1330" s="18" t="s">
        <v>239</v>
      </c>
      <c r="B1330" s="18" t="s">
        <v>275</v>
      </c>
      <c r="C1330" s="18" t="n">
        <v>56</v>
      </c>
      <c r="D1330" s="30" t="n">
        <v>665.82</v>
      </c>
      <c r="E1330" s="18" t="n">
        <v>6</v>
      </c>
    </row>
    <row r="1331" customFormat="false" ht="15" hidden="false" customHeight="true" outlineLevel="0" collapsed="false">
      <c r="A1331" s="18" t="s">
        <v>239</v>
      </c>
      <c r="B1331" s="18" t="s">
        <v>276</v>
      </c>
      <c r="C1331" s="18" t="n">
        <v>77</v>
      </c>
      <c r="D1331" s="30" t="n">
        <v>923.57</v>
      </c>
      <c r="E1331" s="18" t="n">
        <v>7</v>
      </c>
    </row>
    <row r="1332" customFormat="false" ht="15" hidden="false" customHeight="true" outlineLevel="0" collapsed="false">
      <c r="A1332" s="18" t="s">
        <v>239</v>
      </c>
      <c r="B1332" s="18" t="s">
        <v>277</v>
      </c>
      <c r="C1332" s="18" t="n">
        <v>52</v>
      </c>
      <c r="D1332" s="30" t="n">
        <v>614.01</v>
      </c>
      <c r="E1332" s="18" t="n">
        <v>8</v>
      </c>
    </row>
    <row r="1333" customFormat="false" ht="15" hidden="false" customHeight="true" outlineLevel="0" collapsed="false">
      <c r="A1333" s="18" t="s">
        <v>239</v>
      </c>
      <c r="B1333" s="18" t="s">
        <v>278</v>
      </c>
      <c r="C1333" s="18" t="n">
        <v>67</v>
      </c>
      <c r="D1333" s="30" t="n">
        <v>775.47</v>
      </c>
      <c r="E1333" s="18" t="n">
        <v>9</v>
      </c>
    </row>
    <row r="1334" customFormat="false" ht="15" hidden="false" customHeight="true" outlineLevel="0" collapsed="false">
      <c r="A1334" s="18" t="s">
        <v>239</v>
      </c>
      <c r="B1334" s="18" t="s">
        <v>279</v>
      </c>
      <c r="C1334" s="18" t="n">
        <v>70</v>
      </c>
      <c r="D1334" s="30" t="n">
        <v>841.23</v>
      </c>
      <c r="E1334" s="18" t="n">
        <v>10</v>
      </c>
    </row>
    <row r="1335" customFormat="false" ht="15" hidden="false" customHeight="true" outlineLevel="0" collapsed="false">
      <c r="A1335" s="18" t="s">
        <v>239</v>
      </c>
      <c r="B1335" s="18" t="s">
        <v>280</v>
      </c>
      <c r="C1335" s="18" t="n">
        <v>81</v>
      </c>
      <c r="D1335" s="30" t="n">
        <v>980.43</v>
      </c>
      <c r="E1335" s="18" t="n">
        <v>11</v>
      </c>
    </row>
    <row r="1336" customFormat="false" ht="15" hidden="false" customHeight="true" outlineLevel="0" collapsed="false">
      <c r="A1336" s="18" t="s">
        <v>239</v>
      </c>
      <c r="B1336" s="18" t="s">
        <v>281</v>
      </c>
      <c r="C1336" s="18" t="n">
        <v>78</v>
      </c>
      <c r="D1336" s="30" t="n">
        <v>940.45</v>
      </c>
      <c r="E1336" s="18" t="n">
        <v>12</v>
      </c>
    </row>
    <row r="1337" customFormat="false" ht="15" hidden="false" customHeight="true" outlineLevel="0" collapsed="false">
      <c r="A1337" s="18" t="s">
        <v>239</v>
      </c>
      <c r="B1337" s="18" t="s">
        <v>282</v>
      </c>
      <c r="C1337" s="18" t="n">
        <v>73</v>
      </c>
      <c r="D1337" s="30" t="n">
        <v>855.56</v>
      </c>
      <c r="E1337" s="18" t="n">
        <v>13</v>
      </c>
    </row>
    <row r="1338" customFormat="false" ht="15" hidden="false" customHeight="true" outlineLevel="0" collapsed="false">
      <c r="A1338" s="18" t="s">
        <v>239</v>
      </c>
      <c r="B1338" s="18" t="s">
        <v>283</v>
      </c>
      <c r="C1338" s="18" t="n">
        <v>80</v>
      </c>
      <c r="D1338" s="30" t="n">
        <v>977.04</v>
      </c>
      <c r="E1338" s="18" t="n">
        <v>14</v>
      </c>
    </row>
    <row r="1339" customFormat="false" ht="15" hidden="false" customHeight="true" outlineLevel="0" collapsed="false">
      <c r="A1339" s="18" t="s">
        <v>239</v>
      </c>
      <c r="B1339" s="18" t="s">
        <v>284</v>
      </c>
      <c r="C1339" s="18" t="n">
        <v>51</v>
      </c>
      <c r="D1339" s="30" t="n">
        <v>616.73</v>
      </c>
      <c r="E1339" s="18" t="n">
        <v>15</v>
      </c>
    </row>
    <row r="1340" customFormat="false" ht="15" hidden="false" customHeight="true" outlineLevel="0" collapsed="false">
      <c r="A1340" s="18" t="s">
        <v>239</v>
      </c>
      <c r="B1340" s="18" t="s">
        <v>285</v>
      </c>
      <c r="C1340" s="18" t="n">
        <v>70</v>
      </c>
      <c r="D1340" s="30" t="n">
        <v>841.91</v>
      </c>
      <c r="E1340" s="18" t="n">
        <v>16</v>
      </c>
    </row>
    <row r="1341" customFormat="false" ht="15" hidden="false" customHeight="true" outlineLevel="0" collapsed="false">
      <c r="A1341" s="18" t="s">
        <v>239</v>
      </c>
      <c r="B1341" s="18" t="s">
        <v>286</v>
      </c>
      <c r="C1341" s="18" t="n">
        <v>79</v>
      </c>
      <c r="D1341" s="30" t="n">
        <v>957.09</v>
      </c>
      <c r="E1341" s="18" t="n">
        <v>17</v>
      </c>
    </row>
    <row r="1342" customFormat="false" ht="15" hidden="false" customHeight="true" outlineLevel="0" collapsed="false">
      <c r="A1342" s="18" t="s">
        <v>239</v>
      </c>
      <c r="B1342" s="18" t="s">
        <v>287</v>
      </c>
      <c r="C1342" s="18" t="n">
        <v>47</v>
      </c>
      <c r="D1342" s="30" t="n">
        <v>540.72</v>
      </c>
      <c r="E1342" s="18" t="n">
        <v>18</v>
      </c>
    </row>
    <row r="1343" customFormat="false" ht="15" hidden="false" customHeight="true" outlineLevel="0" collapsed="false">
      <c r="A1343" s="18" t="s">
        <v>239</v>
      </c>
      <c r="B1343" s="18" t="s">
        <v>288</v>
      </c>
      <c r="C1343" s="18" t="n">
        <v>30</v>
      </c>
      <c r="D1343" s="30" t="n">
        <v>352.68</v>
      </c>
      <c r="E1343" s="18" t="n">
        <v>19</v>
      </c>
    </row>
    <row r="1344" customFormat="false" ht="15" hidden="false" customHeight="true" outlineLevel="0" collapsed="false">
      <c r="A1344" s="18" t="s">
        <v>239</v>
      </c>
      <c r="B1344" s="18" t="s">
        <v>289</v>
      </c>
      <c r="C1344" s="18" t="n">
        <v>81</v>
      </c>
      <c r="D1344" s="30" t="n">
        <v>942.57</v>
      </c>
      <c r="E1344" s="18" t="n">
        <v>20</v>
      </c>
    </row>
    <row r="1345" customFormat="false" ht="15" hidden="false" customHeight="true" outlineLevel="0" collapsed="false">
      <c r="A1345" s="18" t="s">
        <v>239</v>
      </c>
      <c r="B1345" s="18" t="s">
        <v>290</v>
      </c>
      <c r="C1345" s="18" t="n">
        <v>41</v>
      </c>
      <c r="D1345" s="30" t="n">
        <v>473.72</v>
      </c>
      <c r="E1345" s="18" t="n">
        <v>21</v>
      </c>
    </row>
    <row r="1346" customFormat="false" ht="15" hidden="false" customHeight="true" outlineLevel="0" collapsed="false">
      <c r="A1346" s="18" t="s">
        <v>239</v>
      </c>
      <c r="B1346" s="18" t="s">
        <v>291</v>
      </c>
      <c r="C1346" s="18" t="n">
        <v>53</v>
      </c>
      <c r="D1346" s="30" t="n">
        <v>644.27</v>
      </c>
      <c r="E1346" s="18" t="n">
        <v>22</v>
      </c>
    </row>
    <row r="1347" customFormat="false" ht="15" hidden="false" customHeight="true" outlineLevel="0" collapsed="false">
      <c r="A1347" s="18" t="s">
        <v>239</v>
      </c>
      <c r="B1347" s="18" t="s">
        <v>292</v>
      </c>
      <c r="C1347" s="18" t="n">
        <v>78</v>
      </c>
      <c r="D1347" s="30" t="n">
        <v>951.85</v>
      </c>
      <c r="E1347" s="18" t="n">
        <v>23</v>
      </c>
    </row>
    <row r="1348" customFormat="false" ht="15" hidden="false" customHeight="true" outlineLevel="0" collapsed="false">
      <c r="A1348" s="18" t="s">
        <v>239</v>
      </c>
      <c r="B1348" s="18" t="s">
        <v>293</v>
      </c>
      <c r="C1348" s="18" t="n">
        <v>48</v>
      </c>
      <c r="D1348" s="30" t="n">
        <v>557.07</v>
      </c>
      <c r="E1348" s="18" t="n">
        <v>24</v>
      </c>
    </row>
    <row r="1349" customFormat="false" ht="15" hidden="false" customHeight="true" outlineLevel="0" collapsed="false">
      <c r="A1349" s="18" t="s">
        <v>239</v>
      </c>
      <c r="B1349" s="18" t="s">
        <v>294</v>
      </c>
      <c r="C1349" s="18" t="n">
        <v>88</v>
      </c>
      <c r="D1349" s="30" t="n">
        <v>1049.99</v>
      </c>
      <c r="E1349" s="18" t="n">
        <v>25</v>
      </c>
    </row>
    <row r="1350" customFormat="false" ht="15" hidden="false" customHeight="true" outlineLevel="0" collapsed="false">
      <c r="A1350" s="18" t="s">
        <v>239</v>
      </c>
      <c r="B1350" s="18" t="s">
        <v>295</v>
      </c>
      <c r="C1350" s="18" t="n">
        <v>57</v>
      </c>
      <c r="D1350" s="30" t="n">
        <v>659.64</v>
      </c>
      <c r="E1350" s="18" t="n">
        <v>26</v>
      </c>
    </row>
    <row r="1351" customFormat="false" ht="15" hidden="false" customHeight="true" outlineLevel="0" collapsed="false">
      <c r="A1351" s="18" t="s">
        <v>239</v>
      </c>
      <c r="B1351" s="18" t="s">
        <v>296</v>
      </c>
      <c r="C1351" s="18" t="n">
        <v>56</v>
      </c>
      <c r="D1351" s="30" t="n">
        <v>647.29</v>
      </c>
      <c r="E1351" s="18" t="n">
        <v>27</v>
      </c>
    </row>
    <row r="1352" customFormat="false" ht="15" hidden="false" customHeight="true" outlineLevel="0" collapsed="false">
      <c r="A1352" s="18" t="s">
        <v>239</v>
      </c>
      <c r="B1352" s="18" t="s">
        <v>297</v>
      </c>
      <c r="C1352" s="18" t="n">
        <v>50</v>
      </c>
      <c r="D1352" s="30" t="n">
        <v>610.31</v>
      </c>
      <c r="E1352" s="18" t="n">
        <v>28</v>
      </c>
    </row>
    <row r="1353" customFormat="false" ht="15" hidden="false" customHeight="true" outlineLevel="0" collapsed="false">
      <c r="A1353" s="18" t="s">
        <v>239</v>
      </c>
      <c r="B1353" s="18" t="s">
        <v>298</v>
      </c>
      <c r="C1353" s="18" t="n">
        <v>63</v>
      </c>
      <c r="D1353" s="30" t="n">
        <v>756.63</v>
      </c>
      <c r="E1353" s="18" t="n">
        <v>29</v>
      </c>
    </row>
    <row r="1354" customFormat="false" ht="15" hidden="false" customHeight="true" outlineLevel="0" collapsed="false">
      <c r="A1354" s="18" t="s">
        <v>239</v>
      </c>
      <c r="B1354" s="18" t="s">
        <v>299</v>
      </c>
      <c r="C1354" s="18" t="n">
        <v>95</v>
      </c>
      <c r="D1354" s="30" t="n">
        <v>1138.73</v>
      </c>
      <c r="E1354" s="18" t="n">
        <v>30</v>
      </c>
    </row>
    <row r="1355" customFormat="false" ht="15" hidden="false" customHeight="true" outlineLevel="0" collapsed="false">
      <c r="A1355" s="18" t="s">
        <v>239</v>
      </c>
      <c r="B1355" s="18" t="s">
        <v>300</v>
      </c>
      <c r="C1355" s="18" t="n">
        <v>70</v>
      </c>
      <c r="D1355" s="30" t="n">
        <v>848.48</v>
      </c>
      <c r="E1355" s="18" t="n">
        <v>31</v>
      </c>
    </row>
    <row r="1356" customFormat="false" ht="15" hidden="false" customHeight="true" outlineLevel="0" collapsed="false">
      <c r="A1356" s="18" t="s">
        <v>239</v>
      </c>
      <c r="B1356" s="18" t="s">
        <v>301</v>
      </c>
      <c r="C1356" s="18" t="n">
        <v>111</v>
      </c>
      <c r="D1356" s="30" t="n">
        <v>1277.31</v>
      </c>
      <c r="E1356" s="18" t="n">
        <v>32</v>
      </c>
    </row>
    <row r="1357" customFormat="false" ht="15" hidden="false" customHeight="true" outlineLevel="0" collapsed="false">
      <c r="A1357" s="18" t="s">
        <v>239</v>
      </c>
      <c r="B1357" s="18" t="s">
        <v>302</v>
      </c>
      <c r="C1357" s="18" t="n">
        <v>86</v>
      </c>
      <c r="D1357" s="30" t="n">
        <v>1046.7</v>
      </c>
      <c r="E1357" s="18" t="n">
        <v>33</v>
      </c>
    </row>
    <row r="1358" customFormat="false" ht="15" hidden="false" customHeight="true" outlineLevel="0" collapsed="false">
      <c r="A1358" s="18" t="s">
        <v>239</v>
      </c>
      <c r="B1358" s="18" t="s">
        <v>303</v>
      </c>
      <c r="C1358" s="18" t="n">
        <v>89</v>
      </c>
      <c r="D1358" s="30" t="n">
        <v>1055</v>
      </c>
      <c r="E1358" s="18" t="n">
        <v>34</v>
      </c>
    </row>
    <row r="1359" customFormat="false" ht="15" hidden="false" customHeight="true" outlineLevel="0" collapsed="false">
      <c r="A1359" s="18" t="s">
        <v>239</v>
      </c>
      <c r="B1359" s="18" t="s">
        <v>304</v>
      </c>
      <c r="C1359" s="18" t="n">
        <v>64</v>
      </c>
      <c r="D1359" s="30" t="n">
        <v>738.9</v>
      </c>
      <c r="E1359" s="18" t="n">
        <v>35</v>
      </c>
    </row>
    <row r="1360" customFormat="false" ht="15" hidden="false" customHeight="true" outlineLevel="0" collapsed="false">
      <c r="A1360" s="18" t="s">
        <v>239</v>
      </c>
      <c r="B1360" s="18" t="s">
        <v>305</v>
      </c>
      <c r="C1360" s="18" t="n">
        <v>115</v>
      </c>
      <c r="D1360" s="30" t="n">
        <v>1382.48</v>
      </c>
      <c r="E1360" s="18" t="n">
        <v>36</v>
      </c>
    </row>
    <row r="1361" customFormat="false" ht="15" hidden="false" customHeight="true" outlineLevel="0" collapsed="false">
      <c r="A1361" s="18" t="s">
        <v>239</v>
      </c>
      <c r="B1361" s="18" t="s">
        <v>306</v>
      </c>
      <c r="C1361" s="18" t="n">
        <v>102</v>
      </c>
      <c r="D1361" s="30" t="n">
        <v>1183.83</v>
      </c>
      <c r="E1361" s="18" t="n">
        <v>37</v>
      </c>
    </row>
    <row r="1362" customFormat="false" ht="15" hidden="false" customHeight="true" outlineLevel="0" collapsed="false">
      <c r="A1362" s="18" t="s">
        <v>239</v>
      </c>
      <c r="B1362" s="18" t="s">
        <v>307</v>
      </c>
      <c r="C1362" s="18" t="n">
        <v>99</v>
      </c>
      <c r="D1362" s="30" t="n">
        <v>1152.66</v>
      </c>
      <c r="E1362" s="18" t="n">
        <v>38</v>
      </c>
    </row>
    <row r="1363" customFormat="false" ht="15" hidden="false" customHeight="true" outlineLevel="0" collapsed="false">
      <c r="A1363" s="18" t="s">
        <v>239</v>
      </c>
      <c r="B1363" s="18" t="s">
        <v>308</v>
      </c>
      <c r="C1363" s="18" t="n">
        <v>75</v>
      </c>
      <c r="D1363" s="30" t="n">
        <v>892.35</v>
      </c>
      <c r="E1363" s="18" t="n">
        <v>39</v>
      </c>
    </row>
    <row r="1364" customFormat="false" ht="15" hidden="false" customHeight="true" outlineLevel="0" collapsed="false">
      <c r="A1364" s="18" t="s">
        <v>239</v>
      </c>
      <c r="B1364" s="18" t="s">
        <v>309</v>
      </c>
      <c r="C1364" s="18" t="n">
        <v>48</v>
      </c>
      <c r="D1364" s="30" t="n">
        <v>574.33</v>
      </c>
      <c r="E1364" s="18" t="n">
        <v>40</v>
      </c>
    </row>
    <row r="1365" customFormat="false" ht="15" hidden="false" customHeight="true" outlineLevel="0" collapsed="false">
      <c r="A1365" s="18" t="s">
        <v>239</v>
      </c>
      <c r="B1365" s="18" t="s">
        <v>310</v>
      </c>
      <c r="C1365" s="18" t="n">
        <v>78</v>
      </c>
      <c r="D1365" s="30" t="n">
        <v>928.13</v>
      </c>
      <c r="E1365" s="18" t="n">
        <v>41</v>
      </c>
    </row>
    <row r="1366" customFormat="false" ht="15" hidden="false" customHeight="true" outlineLevel="0" collapsed="false">
      <c r="A1366" s="18" t="s">
        <v>239</v>
      </c>
      <c r="B1366" s="18" t="s">
        <v>311</v>
      </c>
      <c r="C1366" s="18" t="n">
        <v>84</v>
      </c>
      <c r="D1366" s="30" t="n">
        <v>975.58</v>
      </c>
      <c r="E1366" s="18" t="n">
        <v>42</v>
      </c>
    </row>
    <row r="1367" customFormat="false" ht="15" hidden="false" customHeight="true" outlineLevel="0" collapsed="false">
      <c r="A1367" s="18" t="s">
        <v>239</v>
      </c>
      <c r="B1367" s="18" t="s">
        <v>312</v>
      </c>
      <c r="C1367" s="18" t="n">
        <v>82</v>
      </c>
      <c r="D1367" s="30" t="n">
        <v>987.78</v>
      </c>
      <c r="E1367" s="18" t="n">
        <v>43</v>
      </c>
    </row>
    <row r="1368" customFormat="false" ht="15" hidden="false" customHeight="true" outlineLevel="0" collapsed="false">
      <c r="A1368" s="18" t="s">
        <v>239</v>
      </c>
      <c r="B1368" s="18" t="s">
        <v>313</v>
      </c>
      <c r="C1368" s="18" t="n">
        <v>77</v>
      </c>
      <c r="D1368" s="30" t="n">
        <v>936.05</v>
      </c>
      <c r="E1368" s="18" t="n">
        <v>44</v>
      </c>
    </row>
    <row r="1369" customFormat="false" ht="15" hidden="false" customHeight="true" outlineLevel="0" collapsed="false">
      <c r="A1369" s="18" t="s">
        <v>239</v>
      </c>
      <c r="B1369" s="18" t="s">
        <v>314</v>
      </c>
      <c r="C1369" s="18" t="n">
        <v>75</v>
      </c>
      <c r="D1369" s="30" t="n">
        <v>912.36</v>
      </c>
      <c r="E1369" s="18" t="n">
        <v>45</v>
      </c>
    </row>
    <row r="1370" customFormat="false" ht="15" hidden="false" customHeight="true" outlineLevel="0" collapsed="false">
      <c r="A1370" s="18" t="s">
        <v>239</v>
      </c>
      <c r="B1370" s="18" t="s">
        <v>315</v>
      </c>
      <c r="C1370" s="18" t="n">
        <v>54</v>
      </c>
      <c r="D1370" s="30" t="n">
        <v>621.37</v>
      </c>
      <c r="E1370" s="18" t="n">
        <v>46</v>
      </c>
    </row>
    <row r="1371" customFormat="false" ht="15" hidden="false" customHeight="true" outlineLevel="0" collapsed="false">
      <c r="A1371" s="18" t="s">
        <v>239</v>
      </c>
      <c r="B1371" s="18" t="s">
        <v>316</v>
      </c>
      <c r="C1371" s="18" t="n">
        <v>55</v>
      </c>
      <c r="D1371" s="30" t="n">
        <v>637.02</v>
      </c>
      <c r="E1371" s="18" t="n">
        <v>47</v>
      </c>
    </row>
    <row r="1372" customFormat="false" ht="15" hidden="false" customHeight="true" outlineLevel="0" collapsed="false">
      <c r="A1372" s="18" t="s">
        <v>239</v>
      </c>
      <c r="B1372" s="18" t="s">
        <v>317</v>
      </c>
      <c r="C1372" s="18" t="n">
        <v>45</v>
      </c>
      <c r="D1372" s="30" t="n">
        <v>528.95</v>
      </c>
      <c r="E1372" s="18" t="n">
        <v>48</v>
      </c>
    </row>
    <row r="1373" customFormat="false" ht="15" hidden="false" customHeight="true" outlineLevel="0" collapsed="false">
      <c r="A1373" s="18" t="s">
        <v>239</v>
      </c>
      <c r="B1373" s="18" t="s">
        <v>318</v>
      </c>
      <c r="C1373" s="18" t="n">
        <v>92</v>
      </c>
      <c r="D1373" s="30" t="n">
        <v>1110.15</v>
      </c>
      <c r="E1373" s="18" t="n">
        <v>49</v>
      </c>
    </row>
    <row r="1374" customFormat="false" ht="15" hidden="false" customHeight="true" outlineLevel="0" collapsed="false">
      <c r="A1374" s="18" t="s">
        <v>239</v>
      </c>
      <c r="B1374" s="18" t="s">
        <v>319</v>
      </c>
      <c r="C1374" s="18" t="n">
        <v>114</v>
      </c>
      <c r="D1374" s="30" t="n">
        <v>1323.36</v>
      </c>
      <c r="E1374" s="18" t="n">
        <v>50</v>
      </c>
    </row>
    <row r="1375" customFormat="false" ht="15" hidden="false" customHeight="true" outlineLevel="0" collapsed="false">
      <c r="A1375" s="18" t="s">
        <v>239</v>
      </c>
      <c r="B1375" s="18" t="s">
        <v>320</v>
      </c>
      <c r="C1375" s="18" t="n">
        <v>141</v>
      </c>
      <c r="D1375" s="30" t="n">
        <v>1623.4</v>
      </c>
      <c r="E1375" s="18" t="n">
        <v>51</v>
      </c>
    </row>
    <row r="1376" customFormat="false" ht="15" hidden="false" customHeight="true" outlineLevel="0" collapsed="false">
      <c r="A1376" s="18" t="s">
        <v>239</v>
      </c>
      <c r="B1376" s="18" t="s">
        <v>321</v>
      </c>
      <c r="C1376" s="18" t="n">
        <v>83</v>
      </c>
      <c r="D1376" s="30" t="n">
        <v>974.37</v>
      </c>
      <c r="E1376" s="18" t="n">
        <v>52</v>
      </c>
    </row>
    <row r="1377" customFormat="false" ht="15" hidden="false" customHeight="true" outlineLevel="0" collapsed="false">
      <c r="A1377" s="18" t="s">
        <v>241</v>
      </c>
      <c r="B1377" s="18" t="s">
        <v>270</v>
      </c>
      <c r="C1377" s="18" t="n">
        <v>82</v>
      </c>
      <c r="D1377" s="30" t="n">
        <v>3857.54</v>
      </c>
      <c r="E1377" s="18" t="n">
        <v>1</v>
      </c>
    </row>
    <row r="1378" customFormat="false" ht="15" hidden="false" customHeight="true" outlineLevel="0" collapsed="false">
      <c r="A1378" s="18" t="s">
        <v>241</v>
      </c>
      <c r="B1378" s="18" t="s">
        <v>271</v>
      </c>
      <c r="C1378" s="18" t="n">
        <v>31</v>
      </c>
      <c r="D1378" s="30" t="n">
        <v>1405.67</v>
      </c>
      <c r="E1378" s="18" t="n">
        <v>2</v>
      </c>
    </row>
    <row r="1379" customFormat="false" ht="15" hidden="false" customHeight="true" outlineLevel="0" collapsed="false">
      <c r="A1379" s="18" t="s">
        <v>241</v>
      </c>
      <c r="B1379" s="18" t="s">
        <v>272</v>
      </c>
      <c r="C1379" s="18" t="n">
        <v>71</v>
      </c>
      <c r="D1379" s="30" t="n">
        <v>3276.25</v>
      </c>
      <c r="E1379" s="18" t="n">
        <v>3</v>
      </c>
    </row>
    <row r="1380" customFormat="false" ht="15" hidden="false" customHeight="true" outlineLevel="0" collapsed="false">
      <c r="A1380" s="18" t="s">
        <v>241</v>
      </c>
      <c r="B1380" s="18" t="s">
        <v>273</v>
      </c>
      <c r="C1380" s="18" t="n">
        <v>40</v>
      </c>
      <c r="D1380" s="30" t="n">
        <v>1804.6</v>
      </c>
      <c r="E1380" s="18" t="n">
        <v>4</v>
      </c>
    </row>
    <row r="1381" customFormat="false" ht="15" hidden="false" customHeight="true" outlineLevel="0" collapsed="false">
      <c r="A1381" s="18" t="s">
        <v>241</v>
      </c>
      <c r="B1381" s="18" t="s">
        <v>274</v>
      </c>
      <c r="C1381" s="18" t="n">
        <v>69</v>
      </c>
      <c r="D1381" s="30" t="n">
        <v>3110.61</v>
      </c>
      <c r="E1381" s="18" t="n">
        <v>5</v>
      </c>
    </row>
    <row r="1382" customFormat="false" ht="15" hidden="false" customHeight="true" outlineLevel="0" collapsed="false">
      <c r="A1382" s="18" t="s">
        <v>241</v>
      </c>
      <c r="B1382" s="18" t="s">
        <v>275</v>
      </c>
      <c r="C1382" s="18" t="n">
        <v>47</v>
      </c>
      <c r="D1382" s="30" t="n">
        <v>2123.07</v>
      </c>
      <c r="E1382" s="18" t="n">
        <v>6</v>
      </c>
    </row>
    <row r="1383" customFormat="false" ht="15" hidden="false" customHeight="true" outlineLevel="0" collapsed="false">
      <c r="A1383" s="18" t="s">
        <v>241</v>
      </c>
      <c r="B1383" s="18" t="s">
        <v>276</v>
      </c>
      <c r="C1383" s="18" t="n">
        <v>118</v>
      </c>
      <c r="D1383" s="30" t="n">
        <v>5380.07</v>
      </c>
      <c r="E1383" s="18" t="n">
        <v>7</v>
      </c>
    </row>
    <row r="1384" customFormat="false" ht="15" hidden="false" customHeight="true" outlineLevel="0" collapsed="false">
      <c r="A1384" s="18" t="s">
        <v>241</v>
      </c>
      <c r="B1384" s="18" t="s">
        <v>277</v>
      </c>
      <c r="C1384" s="18" t="n">
        <v>126</v>
      </c>
      <c r="D1384" s="30" t="n">
        <v>5757.81</v>
      </c>
      <c r="E1384" s="18" t="n">
        <v>8</v>
      </c>
    </row>
    <row r="1385" customFormat="false" ht="15" hidden="false" customHeight="true" outlineLevel="0" collapsed="false">
      <c r="A1385" s="18" t="s">
        <v>241</v>
      </c>
      <c r="B1385" s="18" t="s">
        <v>278</v>
      </c>
      <c r="C1385" s="18" t="n">
        <v>106</v>
      </c>
      <c r="D1385" s="30" t="n">
        <v>4914.64</v>
      </c>
      <c r="E1385" s="18" t="n">
        <v>9</v>
      </c>
    </row>
    <row r="1386" customFormat="false" ht="15" hidden="false" customHeight="true" outlineLevel="0" collapsed="false">
      <c r="A1386" s="18" t="s">
        <v>241</v>
      </c>
      <c r="B1386" s="18" t="s">
        <v>279</v>
      </c>
      <c r="C1386" s="18" t="n">
        <v>51</v>
      </c>
      <c r="D1386" s="30" t="n">
        <v>2327.41</v>
      </c>
      <c r="E1386" s="18" t="n">
        <v>10</v>
      </c>
    </row>
    <row r="1387" customFormat="false" ht="15" hidden="false" customHeight="true" outlineLevel="0" collapsed="false">
      <c r="A1387" s="18" t="s">
        <v>241</v>
      </c>
      <c r="B1387" s="18" t="s">
        <v>280</v>
      </c>
      <c r="C1387" s="18" t="n">
        <v>19</v>
      </c>
      <c r="D1387" s="30" t="n">
        <v>880.57</v>
      </c>
      <c r="E1387" s="18" t="n">
        <v>11</v>
      </c>
    </row>
    <row r="1388" customFormat="false" ht="15" hidden="false" customHeight="true" outlineLevel="0" collapsed="false">
      <c r="A1388" s="18" t="s">
        <v>241</v>
      </c>
      <c r="B1388" s="18" t="s">
        <v>281</v>
      </c>
      <c r="C1388" s="18" t="n">
        <v>118</v>
      </c>
      <c r="D1388" s="30" t="n">
        <v>5549.15</v>
      </c>
      <c r="E1388" s="18" t="n">
        <v>12</v>
      </c>
    </row>
    <row r="1389" customFormat="false" ht="15" hidden="false" customHeight="true" outlineLevel="0" collapsed="false">
      <c r="A1389" s="18" t="s">
        <v>241</v>
      </c>
      <c r="B1389" s="18" t="s">
        <v>282</v>
      </c>
      <c r="C1389" s="18" t="n">
        <v>80</v>
      </c>
      <c r="D1389" s="30" t="n">
        <v>3689.12</v>
      </c>
      <c r="E1389" s="18" t="n">
        <v>13</v>
      </c>
    </row>
    <row r="1390" customFormat="false" ht="15" hidden="false" customHeight="true" outlineLevel="0" collapsed="false">
      <c r="A1390" s="18" t="s">
        <v>241</v>
      </c>
      <c r="B1390" s="18" t="s">
        <v>283</v>
      </c>
      <c r="C1390" s="18" t="n">
        <v>0</v>
      </c>
      <c r="D1390" s="30" t="n">
        <v>0</v>
      </c>
      <c r="E1390" s="18" t="n">
        <v>14</v>
      </c>
    </row>
    <row r="1391" customFormat="false" ht="15" hidden="false" customHeight="true" outlineLevel="0" collapsed="false">
      <c r="A1391" s="18" t="s">
        <v>241</v>
      </c>
      <c r="B1391" s="18" t="s">
        <v>284</v>
      </c>
      <c r="C1391" s="18" t="n">
        <v>102</v>
      </c>
      <c r="D1391" s="30" t="n">
        <v>4580.59</v>
      </c>
      <c r="E1391" s="18" t="n">
        <v>15</v>
      </c>
    </row>
    <row r="1392" customFormat="false" ht="15" hidden="false" customHeight="true" outlineLevel="0" collapsed="false">
      <c r="A1392" s="18" t="s">
        <v>241</v>
      </c>
      <c r="B1392" s="18" t="s">
        <v>285</v>
      </c>
      <c r="C1392" s="18" t="n">
        <v>25</v>
      </c>
      <c r="D1392" s="30" t="n">
        <v>1127.14</v>
      </c>
      <c r="E1392" s="18" t="n">
        <v>16</v>
      </c>
    </row>
    <row r="1393" customFormat="false" ht="15" hidden="false" customHeight="true" outlineLevel="0" collapsed="false">
      <c r="A1393" s="18" t="s">
        <v>241</v>
      </c>
      <c r="B1393" s="18" t="s">
        <v>286</v>
      </c>
      <c r="C1393" s="18" t="n">
        <v>36</v>
      </c>
      <c r="D1393" s="30" t="n">
        <v>1669.36</v>
      </c>
      <c r="E1393" s="18" t="n">
        <v>17</v>
      </c>
    </row>
    <row r="1394" customFormat="false" ht="15" hidden="false" customHeight="true" outlineLevel="0" collapsed="false">
      <c r="A1394" s="18" t="s">
        <v>241</v>
      </c>
      <c r="B1394" s="18" t="s">
        <v>287</v>
      </c>
      <c r="C1394" s="18" t="n">
        <v>94</v>
      </c>
      <c r="D1394" s="30" t="n">
        <v>4232.27</v>
      </c>
      <c r="E1394" s="18" t="n">
        <v>18</v>
      </c>
    </row>
    <row r="1395" customFormat="false" ht="15" hidden="false" customHeight="true" outlineLevel="0" collapsed="false">
      <c r="A1395" s="18" t="s">
        <v>241</v>
      </c>
      <c r="B1395" s="18" t="s">
        <v>288</v>
      </c>
      <c r="C1395" s="18" t="n">
        <v>23</v>
      </c>
      <c r="D1395" s="30" t="n">
        <v>1035.07</v>
      </c>
      <c r="E1395" s="18" t="n">
        <v>19</v>
      </c>
    </row>
    <row r="1396" customFormat="false" ht="15" hidden="false" customHeight="true" outlineLevel="0" collapsed="false">
      <c r="A1396" s="18" t="s">
        <v>241</v>
      </c>
      <c r="B1396" s="18" t="s">
        <v>289</v>
      </c>
      <c r="C1396" s="18" t="n">
        <v>48</v>
      </c>
      <c r="D1396" s="30" t="n">
        <v>2195.66</v>
      </c>
      <c r="E1396" s="18" t="n">
        <v>20</v>
      </c>
    </row>
    <row r="1397" customFormat="false" ht="15" hidden="false" customHeight="true" outlineLevel="0" collapsed="false">
      <c r="A1397" s="18" t="s">
        <v>241</v>
      </c>
      <c r="B1397" s="18" t="s">
        <v>290</v>
      </c>
      <c r="C1397" s="18" t="n">
        <v>5</v>
      </c>
      <c r="D1397" s="30" t="n">
        <v>226.64</v>
      </c>
      <c r="E1397" s="18" t="n">
        <v>21</v>
      </c>
    </row>
    <row r="1398" customFormat="false" ht="15" hidden="false" customHeight="true" outlineLevel="0" collapsed="false">
      <c r="A1398" s="18" t="s">
        <v>241</v>
      </c>
      <c r="B1398" s="18" t="s">
        <v>291</v>
      </c>
      <c r="C1398" s="18" t="n">
        <v>68</v>
      </c>
      <c r="D1398" s="30" t="n">
        <v>3226.02</v>
      </c>
      <c r="E1398" s="18" t="n">
        <v>22</v>
      </c>
    </row>
    <row r="1399" customFormat="false" ht="15" hidden="false" customHeight="true" outlineLevel="0" collapsed="false">
      <c r="A1399" s="18" t="s">
        <v>241</v>
      </c>
      <c r="B1399" s="18" t="s">
        <v>292</v>
      </c>
      <c r="C1399" s="18" t="n">
        <v>61</v>
      </c>
      <c r="D1399" s="30" t="n">
        <v>2895.3</v>
      </c>
      <c r="E1399" s="18" t="n">
        <v>23</v>
      </c>
    </row>
    <row r="1400" customFormat="false" ht="15" hidden="false" customHeight="true" outlineLevel="0" collapsed="false">
      <c r="A1400" s="18" t="s">
        <v>241</v>
      </c>
      <c r="B1400" s="18" t="s">
        <v>293</v>
      </c>
      <c r="C1400" s="18" t="n">
        <v>11</v>
      </c>
      <c r="D1400" s="30" t="n">
        <v>512.41</v>
      </c>
      <c r="E1400" s="18" t="n">
        <v>24</v>
      </c>
    </row>
    <row r="1401" customFormat="false" ht="15" hidden="false" customHeight="true" outlineLevel="0" collapsed="false">
      <c r="A1401" s="18" t="s">
        <v>241</v>
      </c>
      <c r="B1401" s="18" t="s">
        <v>294</v>
      </c>
      <c r="C1401" s="18" t="n">
        <v>120</v>
      </c>
      <c r="D1401" s="30" t="n">
        <v>5610.68</v>
      </c>
      <c r="E1401" s="18" t="n">
        <v>25</v>
      </c>
    </row>
    <row r="1402" customFormat="false" ht="15" hidden="false" customHeight="true" outlineLevel="0" collapsed="false">
      <c r="A1402" s="18" t="s">
        <v>241</v>
      </c>
      <c r="B1402" s="18" t="s">
        <v>295</v>
      </c>
      <c r="C1402" s="18" t="n">
        <v>47</v>
      </c>
      <c r="D1402" s="30" t="n">
        <v>2168.78</v>
      </c>
      <c r="E1402" s="18" t="n">
        <v>26</v>
      </c>
    </row>
    <row r="1403" customFormat="false" ht="15" hidden="false" customHeight="true" outlineLevel="0" collapsed="false">
      <c r="A1403" s="18" t="s">
        <v>241</v>
      </c>
      <c r="B1403" s="18" t="s">
        <v>296</v>
      </c>
      <c r="C1403" s="18" t="n">
        <v>64</v>
      </c>
      <c r="D1403" s="30" t="n">
        <v>2924.91</v>
      </c>
      <c r="E1403" s="18" t="n">
        <v>27</v>
      </c>
    </row>
    <row r="1404" customFormat="false" ht="15" hidden="false" customHeight="true" outlineLevel="0" collapsed="false">
      <c r="A1404" s="18" t="s">
        <v>241</v>
      </c>
      <c r="B1404" s="18" t="s">
        <v>297</v>
      </c>
      <c r="C1404" s="18" t="n">
        <v>107</v>
      </c>
      <c r="D1404" s="30" t="n">
        <v>4991.15</v>
      </c>
      <c r="E1404" s="18" t="n">
        <v>28</v>
      </c>
    </row>
    <row r="1405" customFormat="false" ht="15" hidden="false" customHeight="true" outlineLevel="0" collapsed="false">
      <c r="A1405" s="18" t="s">
        <v>241</v>
      </c>
      <c r="B1405" s="18" t="s">
        <v>298</v>
      </c>
      <c r="C1405" s="18" t="n">
        <v>114</v>
      </c>
      <c r="D1405" s="30" t="n">
        <v>5194.77</v>
      </c>
      <c r="E1405" s="18" t="n">
        <v>29</v>
      </c>
    </row>
    <row r="1406" customFormat="false" ht="15" hidden="false" customHeight="true" outlineLevel="0" collapsed="false">
      <c r="A1406" s="18" t="s">
        <v>241</v>
      </c>
      <c r="B1406" s="18" t="s">
        <v>299</v>
      </c>
      <c r="C1406" s="18" t="n">
        <v>151</v>
      </c>
      <c r="D1406" s="30" t="n">
        <v>6845.27</v>
      </c>
      <c r="E1406" s="18" t="n">
        <v>30</v>
      </c>
    </row>
    <row r="1407" customFormat="false" ht="15" hidden="false" customHeight="true" outlineLevel="0" collapsed="false">
      <c r="A1407" s="18" t="s">
        <v>241</v>
      </c>
      <c r="B1407" s="18" t="s">
        <v>300</v>
      </c>
      <c r="C1407" s="18" t="n">
        <v>96</v>
      </c>
      <c r="D1407" s="30" t="n">
        <v>4468.42</v>
      </c>
      <c r="E1407" s="18" t="n">
        <v>31</v>
      </c>
    </row>
    <row r="1408" customFormat="false" ht="15" hidden="false" customHeight="true" outlineLevel="0" collapsed="false">
      <c r="A1408" s="18" t="s">
        <v>241</v>
      </c>
      <c r="B1408" s="18" t="s">
        <v>301</v>
      </c>
      <c r="C1408" s="18" t="n">
        <v>139</v>
      </c>
      <c r="D1408" s="30" t="n">
        <v>6262.53</v>
      </c>
      <c r="E1408" s="18" t="n">
        <v>32</v>
      </c>
    </row>
    <row r="1409" customFormat="false" ht="15" hidden="false" customHeight="true" outlineLevel="0" collapsed="false">
      <c r="A1409" s="18" t="s">
        <v>241</v>
      </c>
      <c r="B1409" s="18" t="s">
        <v>302</v>
      </c>
      <c r="C1409" s="18" t="n">
        <v>161</v>
      </c>
      <c r="D1409" s="30" t="n">
        <v>7370.89</v>
      </c>
      <c r="E1409" s="18" t="n">
        <v>33</v>
      </c>
    </row>
    <row r="1410" customFormat="false" ht="15" hidden="false" customHeight="true" outlineLevel="0" collapsed="false">
      <c r="A1410" s="18" t="s">
        <v>241</v>
      </c>
      <c r="B1410" s="18" t="s">
        <v>303</v>
      </c>
      <c r="C1410" s="18" t="n">
        <v>14</v>
      </c>
      <c r="D1410" s="30" t="n">
        <v>649.73</v>
      </c>
      <c r="E1410" s="18" t="n">
        <v>34</v>
      </c>
    </row>
    <row r="1411" customFormat="false" ht="15" hidden="false" customHeight="true" outlineLevel="0" collapsed="false">
      <c r="A1411" s="18" t="s">
        <v>241</v>
      </c>
      <c r="B1411" s="18" t="s">
        <v>304</v>
      </c>
      <c r="C1411" s="18" t="n">
        <v>237</v>
      </c>
      <c r="D1411" s="30" t="n">
        <v>10938.48</v>
      </c>
      <c r="E1411" s="18" t="n">
        <v>35</v>
      </c>
    </row>
    <row r="1412" customFormat="false" ht="15" hidden="false" customHeight="true" outlineLevel="0" collapsed="false">
      <c r="A1412" s="18" t="s">
        <v>241</v>
      </c>
      <c r="B1412" s="18" t="s">
        <v>305</v>
      </c>
      <c r="C1412" s="18" t="n">
        <v>184</v>
      </c>
      <c r="D1412" s="30" t="n">
        <v>8629.65</v>
      </c>
      <c r="E1412" s="18" t="n">
        <v>36</v>
      </c>
    </row>
    <row r="1413" customFormat="false" ht="15" hidden="false" customHeight="true" outlineLevel="0" collapsed="false">
      <c r="A1413" s="18" t="s">
        <v>241</v>
      </c>
      <c r="B1413" s="18" t="s">
        <v>307</v>
      </c>
      <c r="C1413" s="18" t="n">
        <v>105</v>
      </c>
      <c r="D1413" s="30" t="n">
        <v>4978.72</v>
      </c>
      <c r="E1413" s="18" t="n">
        <v>37</v>
      </c>
    </row>
    <row r="1414" customFormat="false" ht="15" hidden="false" customHeight="true" outlineLevel="0" collapsed="false">
      <c r="A1414" s="18" t="s">
        <v>241</v>
      </c>
      <c r="B1414" s="18" t="s">
        <v>308</v>
      </c>
      <c r="C1414" s="18" t="n">
        <v>35</v>
      </c>
      <c r="D1414" s="30" t="n">
        <v>1592.98</v>
      </c>
      <c r="E1414" s="18" t="n">
        <v>38</v>
      </c>
    </row>
    <row r="1415" customFormat="false" ht="15" hidden="false" customHeight="true" outlineLevel="0" collapsed="false">
      <c r="A1415" s="18" t="s">
        <v>241</v>
      </c>
      <c r="B1415" s="18" t="s">
        <v>309</v>
      </c>
      <c r="C1415" s="18" t="n">
        <v>117</v>
      </c>
      <c r="D1415" s="30" t="n">
        <v>5262.17</v>
      </c>
      <c r="E1415" s="18" t="n">
        <v>39</v>
      </c>
    </row>
    <row r="1416" customFormat="false" ht="15" hidden="false" customHeight="true" outlineLevel="0" collapsed="false">
      <c r="A1416" s="18" t="s">
        <v>241</v>
      </c>
      <c r="B1416" s="18" t="s">
        <v>310</v>
      </c>
      <c r="C1416" s="18" t="n">
        <v>57</v>
      </c>
      <c r="D1416" s="30" t="n">
        <v>2648.57</v>
      </c>
      <c r="E1416" s="18" t="n">
        <v>40</v>
      </c>
    </row>
    <row r="1417" customFormat="false" ht="15" hidden="false" customHeight="true" outlineLevel="0" collapsed="false">
      <c r="A1417" s="18" t="s">
        <v>241</v>
      </c>
      <c r="B1417" s="18" t="s">
        <v>311</v>
      </c>
      <c r="C1417" s="18" t="n">
        <v>23</v>
      </c>
      <c r="D1417" s="30" t="n">
        <v>1090</v>
      </c>
      <c r="E1417" s="18" t="n">
        <v>41</v>
      </c>
    </row>
    <row r="1418" customFormat="false" ht="15" hidden="false" customHeight="true" outlineLevel="0" collapsed="false">
      <c r="A1418" s="18" t="s">
        <v>241</v>
      </c>
      <c r="B1418" s="18" t="s">
        <v>312</v>
      </c>
      <c r="C1418" s="18" t="n">
        <v>51</v>
      </c>
      <c r="D1418" s="30" t="n">
        <v>2362.2</v>
      </c>
      <c r="E1418" s="18" t="n">
        <v>42</v>
      </c>
    </row>
    <row r="1419" customFormat="false" ht="15" hidden="false" customHeight="true" outlineLevel="0" collapsed="false">
      <c r="A1419" s="18" t="s">
        <v>241</v>
      </c>
      <c r="B1419" s="18" t="s">
        <v>313</v>
      </c>
      <c r="C1419" s="18" t="n">
        <v>123</v>
      </c>
      <c r="D1419" s="30" t="n">
        <v>5610.43</v>
      </c>
      <c r="E1419" s="18" t="n">
        <v>43</v>
      </c>
    </row>
    <row r="1420" customFormat="false" ht="15" hidden="false" customHeight="true" outlineLevel="0" collapsed="false">
      <c r="A1420" s="18" t="s">
        <v>241</v>
      </c>
      <c r="B1420" s="18" t="s">
        <v>314</v>
      </c>
      <c r="C1420" s="18" t="n">
        <v>112</v>
      </c>
      <c r="D1420" s="30" t="n">
        <v>5246.99</v>
      </c>
      <c r="E1420" s="18" t="n">
        <v>44</v>
      </c>
    </row>
    <row r="1421" customFormat="false" ht="15" hidden="false" customHeight="true" outlineLevel="0" collapsed="false">
      <c r="A1421" s="18" t="s">
        <v>241</v>
      </c>
      <c r="B1421" s="18" t="s">
        <v>315</v>
      </c>
      <c r="C1421" s="18" t="n">
        <v>120</v>
      </c>
      <c r="D1421" s="30" t="n">
        <v>5404.97</v>
      </c>
      <c r="E1421" s="18" t="n">
        <v>45</v>
      </c>
    </row>
    <row r="1422" customFormat="false" ht="15" hidden="false" customHeight="true" outlineLevel="0" collapsed="false">
      <c r="A1422" s="18" t="s">
        <v>241</v>
      </c>
      <c r="B1422" s="18" t="s">
        <v>316</v>
      </c>
      <c r="C1422" s="18" t="n">
        <v>82</v>
      </c>
      <c r="D1422" s="30" t="n">
        <v>3676.79</v>
      </c>
      <c r="E1422" s="18" t="n">
        <v>46</v>
      </c>
    </row>
    <row r="1423" customFormat="false" ht="15" hidden="false" customHeight="true" outlineLevel="0" collapsed="false">
      <c r="A1423" s="18" t="s">
        <v>241</v>
      </c>
      <c r="B1423" s="18" t="s">
        <v>317</v>
      </c>
      <c r="C1423" s="18" t="n">
        <v>93</v>
      </c>
      <c r="D1423" s="30" t="n">
        <v>4349.2</v>
      </c>
      <c r="E1423" s="18" t="n">
        <v>47</v>
      </c>
    </row>
    <row r="1424" customFormat="false" ht="15" hidden="false" customHeight="true" outlineLevel="0" collapsed="false">
      <c r="A1424" s="18" t="s">
        <v>241</v>
      </c>
      <c r="B1424" s="18" t="s">
        <v>318</v>
      </c>
      <c r="C1424" s="18" t="n">
        <v>33</v>
      </c>
      <c r="D1424" s="30" t="n">
        <v>1533.81</v>
      </c>
      <c r="E1424" s="18" t="n">
        <v>48</v>
      </c>
    </row>
    <row r="1425" customFormat="false" ht="15" hidden="false" customHeight="true" outlineLevel="0" collapsed="false">
      <c r="A1425" s="18" t="s">
        <v>241</v>
      </c>
      <c r="B1425" s="18" t="s">
        <v>319</v>
      </c>
      <c r="C1425" s="18" t="n">
        <v>119</v>
      </c>
      <c r="D1425" s="30" t="n">
        <v>5465.77</v>
      </c>
      <c r="E1425" s="18" t="n">
        <v>49</v>
      </c>
    </row>
    <row r="1426" customFormat="false" ht="15" hidden="false" customHeight="true" outlineLevel="0" collapsed="false">
      <c r="A1426" s="18" t="s">
        <v>241</v>
      </c>
      <c r="B1426" s="18" t="s">
        <v>320</v>
      </c>
      <c r="C1426" s="18" t="n">
        <v>139</v>
      </c>
      <c r="D1426" s="30" t="n">
        <v>6422.9</v>
      </c>
      <c r="E1426" s="18" t="n">
        <v>50</v>
      </c>
    </row>
    <row r="1427" customFormat="false" ht="15" hidden="false" customHeight="true" outlineLevel="0" collapsed="false">
      <c r="A1427" s="18" t="s">
        <v>241</v>
      </c>
      <c r="B1427" s="18" t="s">
        <v>321</v>
      </c>
      <c r="C1427" s="18" t="n">
        <v>7</v>
      </c>
      <c r="D1427" s="30" t="n">
        <v>331.95</v>
      </c>
      <c r="E1427" s="18" t="n">
        <v>51</v>
      </c>
    </row>
    <row r="1428" customFormat="false" ht="15" hidden="false" customHeight="true" outlineLevel="0" collapsed="false">
      <c r="A1428" s="18" t="s">
        <v>245</v>
      </c>
      <c r="B1428" s="18" t="s">
        <v>317</v>
      </c>
      <c r="C1428" s="18" t="n">
        <v>55</v>
      </c>
      <c r="D1428" s="30" t="n">
        <v>1497.66</v>
      </c>
      <c r="E1428" s="18" t="n">
        <v>1</v>
      </c>
    </row>
    <row r="1429" customFormat="false" ht="15" hidden="false" customHeight="true" outlineLevel="0" collapsed="false">
      <c r="A1429" s="18" t="s">
        <v>245</v>
      </c>
      <c r="B1429" s="18" t="s">
        <v>318</v>
      </c>
      <c r="C1429" s="18" t="n">
        <v>63</v>
      </c>
      <c r="D1429" s="30" t="n">
        <v>1691.63</v>
      </c>
      <c r="E1429" s="18" t="n">
        <v>2</v>
      </c>
    </row>
    <row r="1430" customFormat="false" ht="15" hidden="false" customHeight="true" outlineLevel="0" collapsed="false">
      <c r="A1430" s="18" t="s">
        <v>245</v>
      </c>
      <c r="B1430" s="18" t="s">
        <v>319</v>
      </c>
      <c r="C1430" s="18" t="n">
        <v>66</v>
      </c>
      <c r="D1430" s="30" t="n">
        <v>1777.33</v>
      </c>
      <c r="E1430" s="18" t="n">
        <v>3</v>
      </c>
    </row>
    <row r="1431" customFormat="false" ht="15" hidden="false" customHeight="true" outlineLevel="0" collapsed="false">
      <c r="A1431" s="18" t="s">
        <v>245</v>
      </c>
      <c r="B1431" s="18" t="s">
        <v>320</v>
      </c>
      <c r="C1431" s="18" t="n">
        <v>62</v>
      </c>
      <c r="D1431" s="30" t="n">
        <v>1651.15</v>
      </c>
      <c r="E1431" s="18" t="n">
        <v>4</v>
      </c>
    </row>
    <row r="1432" customFormat="false" ht="15" hidden="false" customHeight="true" outlineLevel="0" collapsed="false">
      <c r="A1432" s="18" t="s">
        <v>245</v>
      </c>
      <c r="B1432" s="18" t="s">
        <v>321</v>
      </c>
      <c r="C1432" s="18" t="n">
        <v>45</v>
      </c>
      <c r="D1432" s="30" t="n">
        <v>1223.77</v>
      </c>
      <c r="E1432" s="18" t="n">
        <v>5</v>
      </c>
    </row>
    <row r="1433" customFormat="false" ht="15" hidden="false" customHeight="true" outlineLevel="0" collapsed="false">
      <c r="A1433" s="18" t="s">
        <v>247</v>
      </c>
      <c r="B1433" s="18" t="s">
        <v>270</v>
      </c>
      <c r="C1433" s="18" t="n">
        <v>135</v>
      </c>
      <c r="D1433" s="30" t="n">
        <v>4830.07</v>
      </c>
      <c r="E1433" s="18" t="n">
        <v>1</v>
      </c>
    </row>
    <row r="1434" customFormat="false" ht="15" hidden="false" customHeight="true" outlineLevel="0" collapsed="false">
      <c r="A1434" s="18" t="s">
        <v>247</v>
      </c>
      <c r="B1434" s="18" t="s">
        <v>272</v>
      </c>
      <c r="C1434" s="18" t="n">
        <v>273</v>
      </c>
      <c r="D1434" s="30" t="n">
        <v>10046.41</v>
      </c>
      <c r="E1434" s="18" t="n">
        <v>2</v>
      </c>
    </row>
    <row r="1435" customFormat="false" ht="15" hidden="false" customHeight="true" outlineLevel="0" collapsed="false">
      <c r="A1435" s="18" t="s">
        <v>247</v>
      </c>
      <c r="B1435" s="18" t="s">
        <v>273</v>
      </c>
      <c r="C1435" s="18" t="n">
        <v>88</v>
      </c>
      <c r="D1435" s="30" t="n">
        <v>3251.06</v>
      </c>
      <c r="E1435" s="18" t="n">
        <v>3</v>
      </c>
    </row>
    <row r="1436" customFormat="false" ht="15" hidden="false" customHeight="true" outlineLevel="0" collapsed="false">
      <c r="A1436" s="18" t="s">
        <v>247</v>
      </c>
      <c r="B1436" s="18" t="s">
        <v>274</v>
      </c>
      <c r="C1436" s="18" t="n">
        <v>385</v>
      </c>
      <c r="D1436" s="30" t="n">
        <v>14323.16</v>
      </c>
      <c r="E1436" s="18" t="n">
        <v>4</v>
      </c>
    </row>
    <row r="1437" customFormat="false" ht="15" hidden="false" customHeight="true" outlineLevel="0" collapsed="false">
      <c r="A1437" s="18" t="s">
        <v>247</v>
      </c>
      <c r="B1437" s="18" t="s">
        <v>275</v>
      </c>
      <c r="C1437" s="18" t="n">
        <v>118</v>
      </c>
      <c r="D1437" s="30" t="n">
        <v>4296.16</v>
      </c>
      <c r="E1437" s="18" t="n">
        <v>5</v>
      </c>
    </row>
    <row r="1438" customFormat="false" ht="15" hidden="false" customHeight="true" outlineLevel="0" collapsed="false">
      <c r="A1438" s="18" t="s">
        <v>247</v>
      </c>
      <c r="B1438" s="18" t="s">
        <v>276</v>
      </c>
      <c r="C1438" s="18" t="n">
        <v>97</v>
      </c>
      <c r="D1438" s="30" t="n">
        <v>3588.81</v>
      </c>
      <c r="E1438" s="18" t="n">
        <v>6</v>
      </c>
    </row>
    <row r="1439" customFormat="false" ht="15" hidden="false" customHeight="true" outlineLevel="0" collapsed="false">
      <c r="A1439" s="18" t="s">
        <v>247</v>
      </c>
      <c r="B1439" s="18" t="s">
        <v>277</v>
      </c>
      <c r="C1439" s="18" t="n">
        <v>22</v>
      </c>
      <c r="D1439" s="30" t="n">
        <v>800.82</v>
      </c>
      <c r="E1439" s="18" t="n">
        <v>7</v>
      </c>
    </row>
    <row r="1440" customFormat="false" ht="15" hidden="false" customHeight="true" outlineLevel="0" collapsed="false">
      <c r="A1440" s="18" t="s">
        <v>247</v>
      </c>
      <c r="B1440" s="18" t="s">
        <v>278</v>
      </c>
      <c r="C1440" s="18" t="n">
        <v>137</v>
      </c>
      <c r="D1440" s="30" t="n">
        <v>5101.68</v>
      </c>
      <c r="E1440" s="18" t="n">
        <v>8</v>
      </c>
    </row>
    <row r="1441" customFormat="false" ht="15" hidden="false" customHeight="true" outlineLevel="0" collapsed="false">
      <c r="A1441" s="18" t="s">
        <v>247</v>
      </c>
      <c r="B1441" s="18" t="s">
        <v>279</v>
      </c>
      <c r="C1441" s="18" t="n">
        <v>157</v>
      </c>
      <c r="D1441" s="30" t="n">
        <v>5652.62</v>
      </c>
      <c r="E1441" s="18" t="n">
        <v>9</v>
      </c>
    </row>
    <row r="1442" customFormat="false" ht="15" hidden="false" customHeight="true" outlineLevel="0" collapsed="false">
      <c r="A1442" s="18" t="s">
        <v>247</v>
      </c>
      <c r="B1442" s="18" t="s">
        <v>280</v>
      </c>
      <c r="C1442" s="18" t="n">
        <v>121</v>
      </c>
      <c r="D1442" s="30" t="n">
        <v>4558.96</v>
      </c>
      <c r="E1442" s="18" t="n">
        <v>10</v>
      </c>
    </row>
    <row r="1443" customFormat="false" ht="15" hidden="false" customHeight="true" outlineLevel="0" collapsed="false">
      <c r="A1443" s="18" t="s">
        <v>247</v>
      </c>
      <c r="B1443" s="18" t="s">
        <v>281</v>
      </c>
      <c r="C1443" s="18" t="n">
        <v>107</v>
      </c>
      <c r="D1443" s="30" t="n">
        <v>4022.6</v>
      </c>
      <c r="E1443" s="18" t="n">
        <v>11</v>
      </c>
    </row>
    <row r="1444" customFormat="false" ht="15" hidden="false" customHeight="true" outlineLevel="0" collapsed="false">
      <c r="A1444" s="18" t="s">
        <v>247</v>
      </c>
      <c r="B1444" s="18" t="s">
        <v>282</v>
      </c>
      <c r="C1444" s="18" t="n">
        <v>213</v>
      </c>
      <c r="D1444" s="30" t="n">
        <v>7843.94</v>
      </c>
      <c r="E1444" s="18" t="n">
        <v>12</v>
      </c>
    </row>
    <row r="1445" customFormat="false" ht="15" hidden="false" customHeight="true" outlineLevel="0" collapsed="false">
      <c r="A1445" s="18" t="s">
        <v>247</v>
      </c>
      <c r="B1445" s="18" t="s">
        <v>283</v>
      </c>
      <c r="C1445" s="18" t="n">
        <v>113</v>
      </c>
      <c r="D1445" s="30" t="n">
        <v>4037.27</v>
      </c>
      <c r="E1445" s="18" t="n">
        <v>13</v>
      </c>
    </row>
    <row r="1446" customFormat="false" ht="15" hidden="false" customHeight="true" outlineLevel="0" collapsed="false">
      <c r="A1446" s="18" t="s">
        <v>247</v>
      </c>
      <c r="B1446" s="18" t="s">
        <v>284</v>
      </c>
      <c r="C1446" s="18" t="n">
        <v>205</v>
      </c>
      <c r="D1446" s="30" t="n">
        <v>7525.64</v>
      </c>
      <c r="E1446" s="18" t="n">
        <v>14</v>
      </c>
    </row>
    <row r="1447" customFormat="false" ht="15" hidden="false" customHeight="true" outlineLevel="0" collapsed="false">
      <c r="A1447" s="18" t="s">
        <v>247</v>
      </c>
      <c r="B1447" s="18" t="s">
        <v>285</v>
      </c>
      <c r="C1447" s="18" t="n">
        <v>232</v>
      </c>
      <c r="D1447" s="30" t="n">
        <v>8430.65</v>
      </c>
      <c r="E1447" s="18" t="n">
        <v>15</v>
      </c>
    </row>
    <row r="1448" customFormat="false" ht="15" hidden="false" customHeight="true" outlineLevel="0" collapsed="false">
      <c r="A1448" s="18" t="s">
        <v>247</v>
      </c>
      <c r="B1448" s="18" t="s">
        <v>286</v>
      </c>
      <c r="C1448" s="18" t="n">
        <v>415</v>
      </c>
      <c r="D1448" s="30" t="n">
        <v>15663.3</v>
      </c>
      <c r="E1448" s="18" t="n">
        <v>16</v>
      </c>
    </row>
    <row r="1449" customFormat="false" ht="15" hidden="false" customHeight="true" outlineLevel="0" collapsed="false">
      <c r="A1449" s="18" t="s">
        <v>247</v>
      </c>
      <c r="B1449" s="18" t="s">
        <v>287</v>
      </c>
      <c r="C1449" s="18" t="n">
        <v>175</v>
      </c>
      <c r="D1449" s="30" t="n">
        <v>6326.83</v>
      </c>
      <c r="E1449" s="18" t="n">
        <v>17</v>
      </c>
    </row>
    <row r="1450" customFormat="false" ht="15" hidden="false" customHeight="true" outlineLevel="0" collapsed="false">
      <c r="A1450" s="18" t="s">
        <v>247</v>
      </c>
      <c r="B1450" s="18" t="s">
        <v>288</v>
      </c>
      <c r="C1450" s="18" t="n">
        <v>45</v>
      </c>
      <c r="D1450" s="30" t="n">
        <v>1661.32</v>
      </c>
      <c r="E1450" s="18" t="n">
        <v>18</v>
      </c>
    </row>
    <row r="1451" customFormat="false" ht="15" hidden="false" customHeight="true" outlineLevel="0" collapsed="false">
      <c r="A1451" s="18" t="s">
        <v>247</v>
      </c>
      <c r="B1451" s="18" t="s">
        <v>289</v>
      </c>
      <c r="C1451" s="18" t="n">
        <v>86</v>
      </c>
      <c r="D1451" s="30" t="n">
        <v>3154.13</v>
      </c>
      <c r="E1451" s="18" t="n">
        <v>19</v>
      </c>
    </row>
    <row r="1452" customFormat="false" ht="15" hidden="false" customHeight="true" outlineLevel="0" collapsed="false">
      <c r="A1452" s="18" t="s">
        <v>247</v>
      </c>
      <c r="B1452" s="18" t="s">
        <v>290</v>
      </c>
      <c r="C1452" s="18" t="n">
        <v>114</v>
      </c>
      <c r="D1452" s="30" t="n">
        <v>4105.27</v>
      </c>
      <c r="E1452" s="18" t="n">
        <v>20</v>
      </c>
    </row>
    <row r="1453" customFormat="false" ht="15" hidden="false" customHeight="true" outlineLevel="0" collapsed="false">
      <c r="A1453" s="18" t="s">
        <v>247</v>
      </c>
      <c r="B1453" s="18" t="s">
        <v>291</v>
      </c>
      <c r="C1453" s="18" t="n">
        <v>223</v>
      </c>
      <c r="D1453" s="30" t="n">
        <v>8442.14</v>
      </c>
      <c r="E1453" s="18" t="n">
        <v>21</v>
      </c>
    </row>
    <row r="1454" customFormat="false" ht="15" hidden="false" customHeight="true" outlineLevel="0" collapsed="false">
      <c r="A1454" s="18" t="s">
        <v>247</v>
      </c>
      <c r="B1454" s="18" t="s">
        <v>292</v>
      </c>
      <c r="C1454" s="18" t="n">
        <v>121</v>
      </c>
      <c r="D1454" s="30" t="n">
        <v>4518.27</v>
      </c>
      <c r="E1454" s="18" t="n">
        <v>22</v>
      </c>
    </row>
    <row r="1455" customFormat="false" ht="15" hidden="false" customHeight="true" outlineLevel="0" collapsed="false">
      <c r="A1455" s="18" t="s">
        <v>247</v>
      </c>
      <c r="B1455" s="18" t="s">
        <v>293</v>
      </c>
      <c r="C1455" s="18" t="n">
        <v>244</v>
      </c>
      <c r="D1455" s="30" t="n">
        <v>8752.49</v>
      </c>
      <c r="E1455" s="18" t="n">
        <v>23</v>
      </c>
    </row>
    <row r="1456" customFormat="false" ht="15" hidden="false" customHeight="true" outlineLevel="0" collapsed="false">
      <c r="A1456" s="18" t="s">
        <v>247</v>
      </c>
      <c r="B1456" s="18" t="s">
        <v>294</v>
      </c>
      <c r="C1456" s="18" t="n">
        <v>0</v>
      </c>
      <c r="D1456" s="30" t="n">
        <v>0</v>
      </c>
      <c r="E1456" s="18" t="n">
        <v>24</v>
      </c>
    </row>
    <row r="1457" customFormat="false" ht="15" hidden="false" customHeight="true" outlineLevel="0" collapsed="false">
      <c r="A1457" s="18" t="s">
        <v>247</v>
      </c>
      <c r="B1457" s="18" t="s">
        <v>295</v>
      </c>
      <c r="C1457" s="18" t="n">
        <v>234</v>
      </c>
      <c r="D1457" s="30" t="n">
        <v>8786.37</v>
      </c>
      <c r="E1457" s="18" t="n">
        <v>25</v>
      </c>
    </row>
    <row r="1458" customFormat="false" ht="15" hidden="false" customHeight="true" outlineLevel="0" collapsed="false">
      <c r="A1458" s="18" t="s">
        <v>247</v>
      </c>
      <c r="B1458" s="18" t="s">
        <v>296</v>
      </c>
      <c r="C1458" s="18" t="n">
        <v>194</v>
      </c>
      <c r="D1458" s="30" t="n">
        <v>7315.61</v>
      </c>
      <c r="E1458" s="18" t="n">
        <v>26</v>
      </c>
    </row>
    <row r="1459" customFormat="false" ht="15" hidden="false" customHeight="true" outlineLevel="0" collapsed="false">
      <c r="A1459" s="18" t="s">
        <v>247</v>
      </c>
      <c r="B1459" s="18" t="s">
        <v>297</v>
      </c>
      <c r="C1459" s="18" t="n">
        <v>180</v>
      </c>
      <c r="D1459" s="30" t="n">
        <v>6750.04</v>
      </c>
      <c r="E1459" s="18" t="n">
        <v>27</v>
      </c>
    </row>
    <row r="1460" customFormat="false" ht="15" hidden="false" customHeight="true" outlineLevel="0" collapsed="false">
      <c r="A1460" s="18" t="s">
        <v>247</v>
      </c>
      <c r="B1460" s="18" t="s">
        <v>298</v>
      </c>
      <c r="C1460" s="18" t="n">
        <v>150</v>
      </c>
      <c r="D1460" s="30" t="n">
        <v>5439.24</v>
      </c>
      <c r="E1460" s="18" t="n">
        <v>28</v>
      </c>
    </row>
    <row r="1461" customFormat="false" ht="15" hidden="false" customHeight="true" outlineLevel="0" collapsed="false">
      <c r="A1461" s="18" t="s">
        <v>247</v>
      </c>
      <c r="B1461" s="18" t="s">
        <v>299</v>
      </c>
      <c r="C1461" s="18" t="n">
        <v>184</v>
      </c>
      <c r="D1461" s="30" t="n">
        <v>6610.82</v>
      </c>
      <c r="E1461" s="18" t="n">
        <v>29</v>
      </c>
    </row>
    <row r="1462" customFormat="false" ht="15" hidden="false" customHeight="true" outlineLevel="0" collapsed="false">
      <c r="A1462" s="18" t="s">
        <v>247</v>
      </c>
      <c r="B1462" s="18" t="s">
        <v>300</v>
      </c>
      <c r="C1462" s="18" t="n">
        <v>144</v>
      </c>
      <c r="D1462" s="30" t="n">
        <v>5184.23</v>
      </c>
      <c r="E1462" s="18" t="n">
        <v>30</v>
      </c>
    </row>
    <row r="1463" customFormat="false" ht="15" hidden="false" customHeight="true" outlineLevel="0" collapsed="false">
      <c r="A1463" s="18" t="s">
        <v>247</v>
      </c>
      <c r="B1463" s="18" t="s">
        <v>301</v>
      </c>
      <c r="C1463" s="18" t="n">
        <v>162</v>
      </c>
      <c r="D1463" s="30" t="n">
        <v>5803.78</v>
      </c>
      <c r="E1463" s="18" t="n">
        <v>31</v>
      </c>
    </row>
    <row r="1464" customFormat="false" ht="15" hidden="false" customHeight="true" outlineLevel="0" collapsed="false">
      <c r="A1464" s="18" t="s">
        <v>247</v>
      </c>
      <c r="B1464" s="18" t="s">
        <v>302</v>
      </c>
      <c r="C1464" s="18" t="n">
        <v>264</v>
      </c>
      <c r="D1464" s="30" t="n">
        <v>9561.62</v>
      </c>
      <c r="E1464" s="18" t="n">
        <v>32</v>
      </c>
    </row>
    <row r="1465" customFormat="false" ht="15" hidden="false" customHeight="true" outlineLevel="0" collapsed="false">
      <c r="A1465" s="18" t="s">
        <v>247</v>
      </c>
      <c r="B1465" s="18" t="s">
        <v>303</v>
      </c>
      <c r="C1465" s="18" t="n">
        <v>0</v>
      </c>
      <c r="D1465" s="30" t="n">
        <v>0</v>
      </c>
      <c r="E1465" s="18" t="n">
        <v>33</v>
      </c>
    </row>
    <row r="1466" customFormat="false" ht="15" hidden="false" customHeight="true" outlineLevel="0" collapsed="false">
      <c r="A1466" s="18" t="s">
        <v>247</v>
      </c>
      <c r="B1466" s="18" t="s">
        <v>304</v>
      </c>
      <c r="C1466" s="18" t="n">
        <v>418</v>
      </c>
      <c r="D1466" s="30" t="n">
        <v>15719.64</v>
      </c>
      <c r="E1466" s="18" t="n">
        <v>34</v>
      </c>
    </row>
    <row r="1467" customFormat="false" ht="15" hidden="false" customHeight="true" outlineLevel="0" collapsed="false">
      <c r="A1467" s="18" t="s">
        <v>247</v>
      </c>
      <c r="B1467" s="18" t="s">
        <v>305</v>
      </c>
      <c r="C1467" s="18" t="n">
        <v>9</v>
      </c>
      <c r="D1467" s="30" t="n">
        <v>334.45</v>
      </c>
      <c r="E1467" s="18" t="n">
        <v>35</v>
      </c>
    </row>
    <row r="1468" customFormat="false" ht="15" hidden="false" customHeight="true" outlineLevel="0" collapsed="false">
      <c r="A1468" s="18" t="s">
        <v>247</v>
      </c>
      <c r="B1468" s="18" t="s">
        <v>306</v>
      </c>
      <c r="C1468" s="18" t="n">
        <v>223</v>
      </c>
      <c r="D1468" s="30" t="n">
        <v>8038.31</v>
      </c>
      <c r="E1468" s="18" t="n">
        <v>36</v>
      </c>
    </row>
    <row r="1469" customFormat="false" ht="15" hidden="false" customHeight="true" outlineLevel="0" collapsed="false">
      <c r="A1469" s="18" t="s">
        <v>247</v>
      </c>
      <c r="B1469" s="18" t="s">
        <v>307</v>
      </c>
      <c r="C1469" s="18" t="n">
        <v>250</v>
      </c>
      <c r="D1469" s="30" t="n">
        <v>8974.11</v>
      </c>
      <c r="E1469" s="18" t="n">
        <v>37</v>
      </c>
    </row>
    <row r="1470" customFormat="false" ht="15" hidden="false" customHeight="true" outlineLevel="0" collapsed="false">
      <c r="A1470" s="18" t="s">
        <v>247</v>
      </c>
      <c r="B1470" s="18" t="s">
        <v>308</v>
      </c>
      <c r="C1470" s="18" t="n">
        <v>185</v>
      </c>
      <c r="D1470" s="30" t="n">
        <v>6983.21</v>
      </c>
      <c r="E1470" s="18" t="n">
        <v>38</v>
      </c>
    </row>
    <row r="1471" customFormat="false" ht="15" hidden="false" customHeight="true" outlineLevel="0" collapsed="false">
      <c r="A1471" s="18" t="s">
        <v>247</v>
      </c>
      <c r="B1471" s="18" t="s">
        <v>309</v>
      </c>
      <c r="C1471" s="18" t="n">
        <v>261</v>
      </c>
      <c r="D1471" s="30" t="n">
        <v>9643.45</v>
      </c>
      <c r="E1471" s="18" t="n">
        <v>39</v>
      </c>
    </row>
    <row r="1472" customFormat="false" ht="15" hidden="false" customHeight="true" outlineLevel="0" collapsed="false">
      <c r="A1472" s="18" t="s">
        <v>247</v>
      </c>
      <c r="B1472" s="18" t="s">
        <v>310</v>
      </c>
      <c r="C1472" s="18" t="n">
        <v>125</v>
      </c>
      <c r="D1472" s="30" t="n">
        <v>4735.04</v>
      </c>
      <c r="E1472" s="18" t="n">
        <v>40</v>
      </c>
    </row>
    <row r="1473" customFormat="false" ht="15" hidden="false" customHeight="true" outlineLevel="0" collapsed="false">
      <c r="A1473" s="18" t="s">
        <v>247</v>
      </c>
      <c r="B1473" s="18" t="s">
        <v>311</v>
      </c>
      <c r="C1473" s="18" t="n">
        <v>92</v>
      </c>
      <c r="D1473" s="30" t="n">
        <v>3399.11</v>
      </c>
      <c r="E1473" s="18" t="n">
        <v>41</v>
      </c>
    </row>
    <row r="1474" customFormat="false" ht="15" hidden="false" customHeight="true" outlineLevel="0" collapsed="false">
      <c r="A1474" s="18" t="s">
        <v>247</v>
      </c>
      <c r="B1474" s="18" t="s">
        <v>312</v>
      </c>
      <c r="C1474" s="18" t="n">
        <v>50</v>
      </c>
      <c r="D1474" s="30" t="n">
        <v>1820.88</v>
      </c>
      <c r="E1474" s="18" t="n">
        <v>42</v>
      </c>
    </row>
    <row r="1475" customFormat="false" ht="15" hidden="false" customHeight="true" outlineLevel="0" collapsed="false">
      <c r="A1475" s="18" t="s">
        <v>247</v>
      </c>
      <c r="B1475" s="18" t="s">
        <v>313</v>
      </c>
      <c r="C1475" s="18" t="n">
        <v>137</v>
      </c>
      <c r="D1475" s="30" t="n">
        <v>5072.09</v>
      </c>
      <c r="E1475" s="18" t="n">
        <v>43</v>
      </c>
    </row>
    <row r="1476" customFormat="false" ht="15" hidden="false" customHeight="true" outlineLevel="0" collapsed="false">
      <c r="A1476" s="18" t="s">
        <v>247</v>
      </c>
      <c r="B1476" s="18" t="s">
        <v>314</v>
      </c>
      <c r="C1476" s="18" t="n">
        <v>158</v>
      </c>
      <c r="D1476" s="30" t="n">
        <v>5707.06</v>
      </c>
      <c r="E1476" s="18" t="n">
        <v>44</v>
      </c>
    </row>
    <row r="1477" customFormat="false" ht="15" hidden="false" customHeight="true" outlineLevel="0" collapsed="false">
      <c r="A1477" s="18" t="s">
        <v>247</v>
      </c>
      <c r="B1477" s="18" t="s">
        <v>315</v>
      </c>
      <c r="C1477" s="18" t="n">
        <v>181</v>
      </c>
      <c r="D1477" s="30" t="n">
        <v>6608.39</v>
      </c>
      <c r="E1477" s="18" t="n">
        <v>45</v>
      </c>
    </row>
    <row r="1478" customFormat="false" ht="15" hidden="false" customHeight="true" outlineLevel="0" collapsed="false">
      <c r="A1478" s="18" t="s">
        <v>247</v>
      </c>
      <c r="B1478" s="18" t="s">
        <v>316</v>
      </c>
      <c r="C1478" s="18" t="n">
        <v>140</v>
      </c>
      <c r="D1478" s="30" t="n">
        <v>5102.9</v>
      </c>
      <c r="E1478" s="18" t="n">
        <v>46</v>
      </c>
    </row>
    <row r="1479" customFormat="false" ht="15" hidden="false" customHeight="true" outlineLevel="0" collapsed="false">
      <c r="A1479" s="18" t="s">
        <v>247</v>
      </c>
      <c r="B1479" s="18" t="s">
        <v>317</v>
      </c>
      <c r="C1479" s="18" t="n">
        <v>168</v>
      </c>
      <c r="D1479" s="30" t="n">
        <v>6279.27</v>
      </c>
      <c r="E1479" s="18" t="n">
        <v>47</v>
      </c>
    </row>
    <row r="1480" customFormat="false" ht="15" hidden="false" customHeight="true" outlineLevel="0" collapsed="false">
      <c r="A1480" s="18" t="s">
        <v>247</v>
      </c>
      <c r="B1480" s="18" t="s">
        <v>318</v>
      </c>
      <c r="C1480" s="18" t="n">
        <v>120</v>
      </c>
      <c r="D1480" s="30" t="n">
        <v>4502.45</v>
      </c>
      <c r="E1480" s="18" t="n">
        <v>48</v>
      </c>
    </row>
    <row r="1481" customFormat="false" ht="15" hidden="false" customHeight="true" outlineLevel="0" collapsed="false">
      <c r="A1481" s="18" t="s">
        <v>247</v>
      </c>
      <c r="B1481" s="18" t="s">
        <v>319</v>
      </c>
      <c r="C1481" s="18" t="n">
        <v>6</v>
      </c>
      <c r="D1481" s="30" t="n">
        <v>221.65</v>
      </c>
      <c r="E1481" s="18" t="n">
        <v>49</v>
      </c>
    </row>
    <row r="1482" customFormat="false" ht="15" hidden="false" customHeight="true" outlineLevel="0" collapsed="false">
      <c r="A1482" s="18" t="s">
        <v>247</v>
      </c>
      <c r="B1482" s="18" t="s">
        <v>320</v>
      </c>
      <c r="C1482" s="18" t="n">
        <v>157</v>
      </c>
      <c r="D1482" s="30" t="n">
        <v>5617.96</v>
      </c>
      <c r="E1482" s="18" t="n">
        <v>50</v>
      </c>
    </row>
    <row r="1483" customFormat="false" ht="15" hidden="false" customHeight="true" outlineLevel="0" collapsed="false">
      <c r="A1483" s="18" t="s">
        <v>247</v>
      </c>
      <c r="B1483" s="18" t="s">
        <v>321</v>
      </c>
      <c r="C1483" s="18" t="n">
        <v>234</v>
      </c>
      <c r="D1483" s="30" t="n">
        <v>8759.43</v>
      </c>
      <c r="E1483" s="18" t="n">
        <v>51</v>
      </c>
    </row>
    <row r="1484" customFormat="false" ht="15" hidden="false" customHeight="true" outlineLevel="0" collapsed="false">
      <c r="A1484" s="18" t="s">
        <v>249</v>
      </c>
      <c r="B1484" s="18" t="s">
        <v>270</v>
      </c>
      <c r="C1484" s="18" t="n">
        <v>460</v>
      </c>
      <c r="D1484" s="30" t="n">
        <v>24134.34</v>
      </c>
      <c r="E1484" s="18" t="n">
        <v>1</v>
      </c>
    </row>
    <row r="1485" customFormat="false" ht="15" hidden="false" customHeight="true" outlineLevel="0" collapsed="false">
      <c r="A1485" s="18" t="s">
        <v>249</v>
      </c>
      <c r="B1485" s="18" t="s">
        <v>271</v>
      </c>
      <c r="C1485" s="18" t="n">
        <v>207</v>
      </c>
      <c r="D1485" s="30" t="n">
        <v>10539.33</v>
      </c>
      <c r="E1485" s="18" t="n">
        <v>2</v>
      </c>
    </row>
    <row r="1486" customFormat="false" ht="15" hidden="false" customHeight="true" outlineLevel="0" collapsed="false">
      <c r="A1486" s="18" t="s">
        <v>249</v>
      </c>
      <c r="B1486" s="18" t="s">
        <v>272</v>
      </c>
      <c r="C1486" s="18" t="n">
        <v>223</v>
      </c>
      <c r="D1486" s="30" t="n">
        <v>11702.3</v>
      </c>
      <c r="E1486" s="18" t="n">
        <v>3</v>
      </c>
    </row>
    <row r="1487" customFormat="false" ht="15" hidden="false" customHeight="true" outlineLevel="0" collapsed="false">
      <c r="A1487" s="18" t="s">
        <v>249</v>
      </c>
      <c r="B1487" s="18" t="s">
        <v>274</v>
      </c>
      <c r="C1487" s="18" t="n">
        <v>73</v>
      </c>
      <c r="D1487" s="30" t="n">
        <v>3870.04</v>
      </c>
      <c r="E1487" s="18" t="n">
        <v>4</v>
      </c>
    </row>
    <row r="1488" customFormat="false" ht="15" hidden="false" customHeight="true" outlineLevel="0" collapsed="false">
      <c r="A1488" s="18" t="s">
        <v>249</v>
      </c>
      <c r="B1488" s="18" t="s">
        <v>275</v>
      </c>
      <c r="C1488" s="18" t="n">
        <v>118</v>
      </c>
      <c r="D1488" s="30" t="n">
        <v>6065.95</v>
      </c>
      <c r="E1488" s="18" t="n">
        <v>5</v>
      </c>
    </row>
    <row r="1489" customFormat="false" ht="15" hidden="false" customHeight="true" outlineLevel="0" collapsed="false">
      <c r="A1489" s="18" t="s">
        <v>249</v>
      </c>
      <c r="B1489" s="18" t="s">
        <v>276</v>
      </c>
      <c r="C1489" s="18" t="n">
        <v>339</v>
      </c>
      <c r="D1489" s="30" t="n">
        <v>17387.3</v>
      </c>
      <c r="E1489" s="18" t="n">
        <v>6</v>
      </c>
    </row>
    <row r="1490" customFormat="false" ht="15" hidden="false" customHeight="true" outlineLevel="0" collapsed="false">
      <c r="A1490" s="18" t="s">
        <v>249</v>
      </c>
      <c r="B1490" s="18" t="s">
        <v>277</v>
      </c>
      <c r="C1490" s="18" t="n">
        <v>101</v>
      </c>
      <c r="D1490" s="30" t="n">
        <v>5187.42</v>
      </c>
      <c r="E1490" s="18" t="n">
        <v>7</v>
      </c>
    </row>
    <row r="1491" customFormat="false" ht="15" hidden="false" customHeight="true" outlineLevel="0" collapsed="false">
      <c r="A1491" s="18" t="s">
        <v>249</v>
      </c>
      <c r="B1491" s="18" t="s">
        <v>278</v>
      </c>
      <c r="C1491" s="18" t="n">
        <v>0</v>
      </c>
      <c r="D1491" s="30" t="n">
        <v>0</v>
      </c>
      <c r="E1491" s="18" t="n">
        <v>8</v>
      </c>
    </row>
    <row r="1492" customFormat="false" ht="15" hidden="false" customHeight="true" outlineLevel="0" collapsed="false">
      <c r="A1492" s="18" t="s">
        <v>249</v>
      </c>
      <c r="B1492" s="18" t="s">
        <v>279</v>
      </c>
      <c r="C1492" s="18" t="n">
        <v>364</v>
      </c>
      <c r="D1492" s="30" t="n">
        <v>18706.32</v>
      </c>
      <c r="E1492" s="18" t="n">
        <v>9</v>
      </c>
    </row>
    <row r="1493" customFormat="false" ht="15" hidden="false" customHeight="true" outlineLevel="0" collapsed="false">
      <c r="A1493" s="18" t="s">
        <v>249</v>
      </c>
      <c r="B1493" s="18" t="s">
        <v>280</v>
      </c>
      <c r="C1493" s="18" t="n">
        <v>386</v>
      </c>
      <c r="D1493" s="30" t="n">
        <v>20310.1</v>
      </c>
      <c r="E1493" s="18" t="n">
        <v>10</v>
      </c>
    </row>
    <row r="1494" customFormat="false" ht="15" hidden="false" customHeight="true" outlineLevel="0" collapsed="false">
      <c r="A1494" s="18" t="s">
        <v>249</v>
      </c>
      <c r="B1494" s="18" t="s">
        <v>281</v>
      </c>
      <c r="C1494" s="18" t="n">
        <v>42</v>
      </c>
      <c r="D1494" s="30" t="n">
        <v>2191.93</v>
      </c>
      <c r="E1494" s="18" t="n">
        <v>11</v>
      </c>
    </row>
    <row r="1495" customFormat="false" ht="15" hidden="false" customHeight="true" outlineLevel="0" collapsed="false">
      <c r="A1495" s="18" t="s">
        <v>249</v>
      </c>
      <c r="B1495" s="18" t="s">
        <v>282</v>
      </c>
      <c r="C1495" s="18" t="n">
        <v>439</v>
      </c>
      <c r="D1495" s="30" t="n">
        <v>22243.47</v>
      </c>
      <c r="E1495" s="18" t="n">
        <v>12</v>
      </c>
    </row>
    <row r="1496" customFormat="false" ht="15" hidden="false" customHeight="true" outlineLevel="0" collapsed="false">
      <c r="A1496" s="18" t="s">
        <v>249</v>
      </c>
      <c r="B1496" s="18" t="s">
        <v>283</v>
      </c>
      <c r="C1496" s="18" t="n">
        <v>195</v>
      </c>
      <c r="D1496" s="30" t="n">
        <v>10270.93</v>
      </c>
      <c r="E1496" s="18" t="n">
        <v>13</v>
      </c>
    </row>
    <row r="1497" customFormat="false" ht="15" hidden="false" customHeight="true" outlineLevel="0" collapsed="false">
      <c r="A1497" s="18" t="s">
        <v>249</v>
      </c>
      <c r="B1497" s="18" t="s">
        <v>285</v>
      </c>
      <c r="C1497" s="18" t="n">
        <v>138</v>
      </c>
      <c r="D1497" s="30" t="n">
        <v>7209.34</v>
      </c>
      <c r="E1497" s="18" t="n">
        <v>14</v>
      </c>
    </row>
    <row r="1498" customFormat="false" ht="15" hidden="false" customHeight="true" outlineLevel="0" collapsed="false">
      <c r="A1498" s="18" t="s">
        <v>249</v>
      </c>
      <c r="B1498" s="18" t="s">
        <v>286</v>
      </c>
      <c r="C1498" s="18" t="n">
        <v>178</v>
      </c>
      <c r="D1498" s="30" t="n">
        <v>9120</v>
      </c>
      <c r="E1498" s="18" t="n">
        <v>15</v>
      </c>
    </row>
    <row r="1499" customFormat="false" ht="15" hidden="false" customHeight="true" outlineLevel="0" collapsed="false">
      <c r="A1499" s="18" t="s">
        <v>249</v>
      </c>
      <c r="B1499" s="18" t="s">
        <v>287</v>
      </c>
      <c r="C1499" s="18" t="n">
        <v>264</v>
      </c>
      <c r="D1499" s="30" t="n">
        <v>13544.25</v>
      </c>
      <c r="E1499" s="18" t="n">
        <v>16</v>
      </c>
    </row>
    <row r="1500" customFormat="false" ht="15" hidden="false" customHeight="true" outlineLevel="0" collapsed="false">
      <c r="A1500" s="18" t="s">
        <v>249</v>
      </c>
      <c r="B1500" s="18" t="s">
        <v>288</v>
      </c>
      <c r="C1500" s="18" t="n">
        <v>285</v>
      </c>
      <c r="D1500" s="30" t="n">
        <v>14257.09</v>
      </c>
      <c r="E1500" s="18" t="n">
        <v>17</v>
      </c>
    </row>
    <row r="1501" customFormat="false" ht="15" hidden="false" customHeight="true" outlineLevel="0" collapsed="false">
      <c r="A1501" s="18" t="s">
        <v>249</v>
      </c>
      <c r="B1501" s="18" t="s">
        <v>289</v>
      </c>
      <c r="C1501" s="18" t="n">
        <v>144</v>
      </c>
      <c r="D1501" s="30" t="n">
        <v>7523.29</v>
      </c>
      <c r="E1501" s="18" t="n">
        <v>18</v>
      </c>
    </row>
    <row r="1502" customFormat="false" ht="15" hidden="false" customHeight="true" outlineLevel="0" collapsed="false">
      <c r="A1502" s="18" t="s">
        <v>249</v>
      </c>
      <c r="B1502" s="18" t="s">
        <v>290</v>
      </c>
      <c r="C1502" s="18" t="n">
        <v>57</v>
      </c>
      <c r="D1502" s="30" t="n">
        <v>2938.88</v>
      </c>
      <c r="E1502" s="18" t="n">
        <v>19</v>
      </c>
    </row>
    <row r="1503" customFormat="false" ht="15" hidden="false" customHeight="true" outlineLevel="0" collapsed="false">
      <c r="A1503" s="18" t="s">
        <v>249</v>
      </c>
      <c r="B1503" s="18" t="s">
        <v>291</v>
      </c>
      <c r="C1503" s="18" t="n">
        <v>196</v>
      </c>
      <c r="D1503" s="30" t="n">
        <v>10217.72</v>
      </c>
      <c r="E1503" s="18" t="n">
        <v>20</v>
      </c>
    </row>
    <row r="1504" customFormat="false" ht="15" hidden="false" customHeight="true" outlineLevel="0" collapsed="false">
      <c r="A1504" s="18" t="s">
        <v>249</v>
      </c>
      <c r="B1504" s="18" t="s">
        <v>292</v>
      </c>
      <c r="C1504" s="18" t="n">
        <v>216</v>
      </c>
      <c r="D1504" s="30" t="n">
        <v>11445.94</v>
      </c>
      <c r="E1504" s="18" t="n">
        <v>21</v>
      </c>
    </row>
    <row r="1505" customFormat="false" ht="15" hidden="false" customHeight="true" outlineLevel="0" collapsed="false">
      <c r="A1505" s="18" t="s">
        <v>249</v>
      </c>
      <c r="B1505" s="18" t="s">
        <v>293</v>
      </c>
      <c r="C1505" s="18" t="n">
        <v>254</v>
      </c>
      <c r="D1505" s="30" t="n">
        <v>13482.26</v>
      </c>
      <c r="E1505" s="18" t="n">
        <v>22</v>
      </c>
    </row>
    <row r="1506" customFormat="false" ht="15" hidden="false" customHeight="true" outlineLevel="0" collapsed="false">
      <c r="A1506" s="18" t="s">
        <v>249</v>
      </c>
      <c r="B1506" s="18" t="s">
        <v>294</v>
      </c>
      <c r="C1506" s="18" t="n">
        <v>334</v>
      </c>
      <c r="D1506" s="30" t="n">
        <v>17657.31</v>
      </c>
      <c r="E1506" s="18" t="n">
        <v>23</v>
      </c>
    </row>
    <row r="1507" customFormat="false" ht="15" hidden="false" customHeight="true" outlineLevel="0" collapsed="false">
      <c r="A1507" s="18" t="s">
        <v>249</v>
      </c>
      <c r="B1507" s="18" t="s">
        <v>295</v>
      </c>
      <c r="C1507" s="18" t="n">
        <v>196</v>
      </c>
      <c r="D1507" s="30" t="n">
        <v>10174.08</v>
      </c>
      <c r="E1507" s="18" t="n">
        <v>24</v>
      </c>
    </row>
    <row r="1508" customFormat="false" ht="15" hidden="false" customHeight="true" outlineLevel="0" collapsed="false">
      <c r="A1508" s="18" t="s">
        <v>249</v>
      </c>
      <c r="B1508" s="18" t="s">
        <v>296</v>
      </c>
      <c r="C1508" s="18" t="n">
        <v>258</v>
      </c>
      <c r="D1508" s="30" t="n">
        <v>13339.67</v>
      </c>
      <c r="E1508" s="18" t="n">
        <v>25</v>
      </c>
    </row>
    <row r="1509" customFormat="false" ht="15" hidden="false" customHeight="true" outlineLevel="0" collapsed="false">
      <c r="A1509" s="18" t="s">
        <v>249</v>
      </c>
      <c r="B1509" s="18" t="s">
        <v>297</v>
      </c>
      <c r="C1509" s="18" t="n">
        <v>215</v>
      </c>
      <c r="D1509" s="30" t="n">
        <v>11101.43</v>
      </c>
      <c r="E1509" s="18" t="n">
        <v>26</v>
      </c>
    </row>
    <row r="1510" customFormat="false" ht="15" hidden="false" customHeight="true" outlineLevel="0" collapsed="false">
      <c r="A1510" s="18" t="s">
        <v>249</v>
      </c>
      <c r="B1510" s="18" t="s">
        <v>298</v>
      </c>
      <c r="C1510" s="18" t="n">
        <v>472</v>
      </c>
      <c r="D1510" s="30" t="n">
        <v>23770.96</v>
      </c>
      <c r="E1510" s="18" t="n">
        <v>27</v>
      </c>
    </row>
    <row r="1511" customFormat="false" ht="15" hidden="false" customHeight="true" outlineLevel="0" collapsed="false">
      <c r="A1511" s="18" t="s">
        <v>249</v>
      </c>
      <c r="B1511" s="18" t="s">
        <v>299</v>
      </c>
      <c r="C1511" s="18" t="n">
        <v>224</v>
      </c>
      <c r="D1511" s="30" t="n">
        <v>11555.81</v>
      </c>
      <c r="E1511" s="18" t="n">
        <v>28</v>
      </c>
    </row>
    <row r="1512" customFormat="false" ht="15" hidden="false" customHeight="true" outlineLevel="0" collapsed="false">
      <c r="A1512" s="18" t="s">
        <v>249</v>
      </c>
      <c r="B1512" s="18" t="s">
        <v>300</v>
      </c>
      <c r="C1512" s="18" t="n">
        <v>169</v>
      </c>
      <c r="D1512" s="30" t="n">
        <v>8510.65</v>
      </c>
      <c r="E1512" s="18" t="n">
        <v>29</v>
      </c>
    </row>
    <row r="1513" customFormat="false" ht="15" hidden="false" customHeight="true" outlineLevel="0" collapsed="false">
      <c r="A1513" s="18" t="s">
        <v>249</v>
      </c>
      <c r="B1513" s="18" t="s">
        <v>301</v>
      </c>
      <c r="C1513" s="18" t="n">
        <v>178</v>
      </c>
      <c r="D1513" s="30" t="n">
        <v>9365.41</v>
      </c>
      <c r="E1513" s="18" t="n">
        <v>30</v>
      </c>
    </row>
    <row r="1514" customFormat="false" ht="15" hidden="false" customHeight="true" outlineLevel="0" collapsed="false">
      <c r="A1514" s="18" t="s">
        <v>249</v>
      </c>
      <c r="B1514" s="18" t="s">
        <v>302</v>
      </c>
      <c r="C1514" s="18" t="n">
        <v>373</v>
      </c>
      <c r="D1514" s="30" t="n">
        <v>18714.77</v>
      </c>
      <c r="E1514" s="18" t="n">
        <v>31</v>
      </c>
    </row>
    <row r="1515" customFormat="false" ht="15" hidden="false" customHeight="true" outlineLevel="0" collapsed="false">
      <c r="A1515" s="18" t="s">
        <v>249</v>
      </c>
      <c r="B1515" s="18" t="s">
        <v>303</v>
      </c>
      <c r="C1515" s="18" t="n">
        <v>222</v>
      </c>
      <c r="D1515" s="30" t="n">
        <v>11430.32</v>
      </c>
      <c r="E1515" s="18" t="n">
        <v>32</v>
      </c>
    </row>
    <row r="1516" customFormat="false" ht="15" hidden="false" customHeight="true" outlineLevel="0" collapsed="false">
      <c r="A1516" s="18" t="s">
        <v>249</v>
      </c>
      <c r="B1516" s="18" t="s">
        <v>304</v>
      </c>
      <c r="C1516" s="18" t="n">
        <v>327</v>
      </c>
      <c r="D1516" s="30" t="n">
        <v>17070.94</v>
      </c>
      <c r="E1516" s="18" t="n">
        <v>33</v>
      </c>
    </row>
    <row r="1517" customFormat="false" ht="15" hidden="false" customHeight="true" outlineLevel="0" collapsed="false">
      <c r="A1517" s="18" t="s">
        <v>249</v>
      </c>
      <c r="B1517" s="18" t="s">
        <v>305</v>
      </c>
      <c r="C1517" s="18" t="n">
        <v>322</v>
      </c>
      <c r="D1517" s="30" t="n">
        <v>16334.83</v>
      </c>
      <c r="E1517" s="18" t="n">
        <v>34</v>
      </c>
    </row>
    <row r="1518" customFormat="false" ht="15" hidden="false" customHeight="true" outlineLevel="0" collapsed="false">
      <c r="A1518" s="18" t="s">
        <v>249</v>
      </c>
      <c r="B1518" s="18" t="s">
        <v>306</v>
      </c>
      <c r="C1518" s="18" t="n">
        <v>96</v>
      </c>
      <c r="D1518" s="30" t="n">
        <v>4848.08</v>
      </c>
      <c r="E1518" s="18" t="n">
        <v>35</v>
      </c>
    </row>
    <row r="1519" customFormat="false" ht="15" hidden="false" customHeight="true" outlineLevel="0" collapsed="false">
      <c r="A1519" s="18" t="s">
        <v>249</v>
      </c>
      <c r="B1519" s="18" t="s">
        <v>307</v>
      </c>
      <c r="C1519" s="18" t="n">
        <v>79</v>
      </c>
      <c r="D1519" s="30" t="n">
        <v>4169.07</v>
      </c>
      <c r="E1519" s="18" t="n">
        <v>36</v>
      </c>
    </row>
    <row r="1520" customFormat="false" ht="15" hidden="false" customHeight="true" outlineLevel="0" collapsed="false">
      <c r="A1520" s="18" t="s">
        <v>249</v>
      </c>
      <c r="B1520" s="18" t="s">
        <v>308</v>
      </c>
      <c r="C1520" s="18" t="n">
        <v>293</v>
      </c>
      <c r="D1520" s="30" t="n">
        <v>15459.86</v>
      </c>
      <c r="E1520" s="18" t="n">
        <v>37</v>
      </c>
    </row>
    <row r="1521" customFormat="false" ht="15" hidden="false" customHeight="true" outlineLevel="0" collapsed="false">
      <c r="A1521" s="18" t="s">
        <v>249</v>
      </c>
      <c r="B1521" s="18" t="s">
        <v>309</v>
      </c>
      <c r="C1521" s="18" t="n">
        <v>15</v>
      </c>
      <c r="D1521" s="30" t="n">
        <v>765.66</v>
      </c>
      <c r="E1521" s="18" t="n">
        <v>38</v>
      </c>
    </row>
    <row r="1522" customFormat="false" ht="15" hidden="false" customHeight="true" outlineLevel="0" collapsed="false">
      <c r="A1522" s="18" t="s">
        <v>249</v>
      </c>
      <c r="B1522" s="18" t="s">
        <v>310</v>
      </c>
      <c r="C1522" s="18" t="n">
        <v>18</v>
      </c>
      <c r="D1522" s="30" t="n">
        <v>927.15</v>
      </c>
      <c r="E1522" s="18" t="n">
        <v>39</v>
      </c>
    </row>
    <row r="1523" customFormat="false" ht="15" hidden="false" customHeight="true" outlineLevel="0" collapsed="false">
      <c r="A1523" s="18" t="s">
        <v>249</v>
      </c>
      <c r="B1523" s="18" t="s">
        <v>311</v>
      </c>
      <c r="C1523" s="18" t="n">
        <v>389</v>
      </c>
      <c r="D1523" s="30" t="n">
        <v>19596.66</v>
      </c>
      <c r="E1523" s="18" t="n">
        <v>40</v>
      </c>
    </row>
    <row r="1524" customFormat="false" ht="15" hidden="false" customHeight="true" outlineLevel="0" collapsed="false">
      <c r="A1524" s="18" t="s">
        <v>249</v>
      </c>
      <c r="B1524" s="18" t="s">
        <v>312</v>
      </c>
      <c r="C1524" s="18" t="n">
        <v>0</v>
      </c>
      <c r="D1524" s="30" t="n">
        <v>0</v>
      </c>
      <c r="E1524" s="18" t="n">
        <v>41</v>
      </c>
    </row>
    <row r="1525" customFormat="false" ht="15" hidden="false" customHeight="true" outlineLevel="0" collapsed="false">
      <c r="A1525" s="18" t="s">
        <v>249</v>
      </c>
      <c r="B1525" s="18" t="s">
        <v>313</v>
      </c>
      <c r="C1525" s="18" t="n">
        <v>0</v>
      </c>
      <c r="D1525" s="30" t="n">
        <v>0</v>
      </c>
      <c r="E1525" s="18" t="n">
        <v>42</v>
      </c>
    </row>
    <row r="1526" customFormat="false" ht="15" hidden="false" customHeight="true" outlineLevel="0" collapsed="false">
      <c r="A1526" s="18" t="s">
        <v>249</v>
      </c>
      <c r="B1526" s="18" t="s">
        <v>314</v>
      </c>
      <c r="C1526" s="18" t="n">
        <v>199</v>
      </c>
      <c r="D1526" s="30" t="n">
        <v>10261.37</v>
      </c>
      <c r="E1526" s="18" t="n">
        <v>43</v>
      </c>
    </row>
    <row r="1527" customFormat="false" ht="15" hidden="false" customHeight="true" outlineLevel="0" collapsed="false">
      <c r="A1527" s="18" t="s">
        <v>249</v>
      </c>
      <c r="B1527" s="18" t="s">
        <v>315</v>
      </c>
      <c r="C1527" s="18" t="n">
        <v>201</v>
      </c>
      <c r="D1527" s="30" t="n">
        <v>10441.88</v>
      </c>
      <c r="E1527" s="18" t="n">
        <v>44</v>
      </c>
    </row>
    <row r="1528" customFormat="false" ht="15" hidden="false" customHeight="true" outlineLevel="0" collapsed="false">
      <c r="A1528" s="18" t="s">
        <v>249</v>
      </c>
      <c r="B1528" s="18" t="s">
        <v>316</v>
      </c>
      <c r="C1528" s="18" t="n">
        <v>123</v>
      </c>
      <c r="D1528" s="30" t="n">
        <v>6423.44</v>
      </c>
      <c r="E1528" s="18" t="n">
        <v>45</v>
      </c>
    </row>
    <row r="1529" customFormat="false" ht="15" hidden="false" customHeight="true" outlineLevel="0" collapsed="false">
      <c r="A1529" s="18" t="s">
        <v>249</v>
      </c>
      <c r="B1529" s="18" t="s">
        <v>317</v>
      </c>
      <c r="C1529" s="18" t="n">
        <v>147</v>
      </c>
      <c r="D1529" s="30" t="n">
        <v>7764.78</v>
      </c>
      <c r="E1529" s="18" t="n">
        <v>46</v>
      </c>
    </row>
    <row r="1530" customFormat="false" ht="15" hidden="false" customHeight="true" outlineLevel="0" collapsed="false">
      <c r="A1530" s="18" t="s">
        <v>249</v>
      </c>
      <c r="B1530" s="18" t="s">
        <v>318</v>
      </c>
      <c r="C1530" s="18" t="n">
        <v>235</v>
      </c>
      <c r="D1530" s="30" t="n">
        <v>12463.14</v>
      </c>
      <c r="E1530" s="18" t="n">
        <v>47</v>
      </c>
    </row>
    <row r="1531" customFormat="false" ht="15" hidden="false" customHeight="true" outlineLevel="0" collapsed="false">
      <c r="A1531" s="18" t="s">
        <v>249</v>
      </c>
      <c r="B1531" s="18" t="s">
        <v>319</v>
      </c>
      <c r="C1531" s="18" t="n">
        <v>286</v>
      </c>
      <c r="D1531" s="30" t="n">
        <v>15068.25</v>
      </c>
      <c r="E1531" s="18" t="n">
        <v>48</v>
      </c>
    </row>
    <row r="1532" customFormat="false" ht="15" hidden="false" customHeight="true" outlineLevel="0" collapsed="false">
      <c r="A1532" s="18" t="s">
        <v>249</v>
      </c>
      <c r="B1532" s="18" t="s">
        <v>320</v>
      </c>
      <c r="C1532" s="18" t="n">
        <v>275</v>
      </c>
      <c r="D1532" s="30" t="n">
        <v>14468.68</v>
      </c>
      <c r="E1532" s="18" t="n">
        <v>49</v>
      </c>
    </row>
    <row r="1533" customFormat="false" ht="15" hidden="false" customHeight="true" outlineLevel="0" collapsed="false">
      <c r="A1533" s="18" t="s">
        <v>249</v>
      </c>
      <c r="B1533" s="18" t="s">
        <v>321</v>
      </c>
      <c r="C1533" s="18" t="n">
        <v>199</v>
      </c>
      <c r="D1533" s="30" t="n">
        <v>10423.72</v>
      </c>
      <c r="E1533" s="18" t="n">
        <v>50</v>
      </c>
    </row>
    <row r="1534" customFormat="false" ht="15" hidden="false" customHeight="true" outlineLevel="0" collapsed="false">
      <c r="A1534" s="18" t="s">
        <v>251</v>
      </c>
      <c r="B1534" s="18" t="s">
        <v>270</v>
      </c>
      <c r="C1534" s="18" t="n">
        <v>45</v>
      </c>
      <c r="D1534" s="30" t="n">
        <v>1920.34</v>
      </c>
      <c r="E1534" s="18" t="n">
        <v>1</v>
      </c>
    </row>
    <row r="1535" customFormat="false" ht="15" hidden="false" customHeight="true" outlineLevel="0" collapsed="false">
      <c r="A1535" s="18" t="s">
        <v>251</v>
      </c>
      <c r="B1535" s="18" t="s">
        <v>271</v>
      </c>
      <c r="C1535" s="18" t="n">
        <v>45</v>
      </c>
      <c r="D1535" s="30" t="n">
        <v>1911.88</v>
      </c>
      <c r="E1535" s="18" t="n">
        <v>2</v>
      </c>
    </row>
    <row r="1536" customFormat="false" ht="15" hidden="false" customHeight="true" outlineLevel="0" collapsed="false">
      <c r="A1536" s="18" t="s">
        <v>251</v>
      </c>
      <c r="B1536" s="18" t="s">
        <v>272</v>
      </c>
      <c r="C1536" s="18" t="n">
        <v>52</v>
      </c>
      <c r="D1536" s="30" t="n">
        <v>2211.95</v>
      </c>
      <c r="E1536" s="18" t="n">
        <v>3</v>
      </c>
    </row>
    <row r="1537" customFormat="false" ht="15" hidden="false" customHeight="true" outlineLevel="0" collapsed="false">
      <c r="A1537" s="18" t="s">
        <v>251</v>
      </c>
      <c r="B1537" s="18" t="s">
        <v>273</v>
      </c>
      <c r="C1537" s="18" t="n">
        <v>51</v>
      </c>
      <c r="D1537" s="30" t="n">
        <v>2122.78</v>
      </c>
      <c r="E1537" s="18" t="n">
        <v>4</v>
      </c>
    </row>
    <row r="1538" customFormat="false" ht="15" hidden="false" customHeight="true" outlineLevel="0" collapsed="false">
      <c r="A1538" s="18" t="s">
        <v>251</v>
      </c>
      <c r="B1538" s="18" t="s">
        <v>274</v>
      </c>
      <c r="C1538" s="18" t="n">
        <v>56</v>
      </c>
      <c r="D1538" s="30" t="n">
        <v>2403.12</v>
      </c>
      <c r="E1538" s="18" t="n">
        <v>5</v>
      </c>
    </row>
    <row r="1539" customFormat="false" ht="15" hidden="false" customHeight="true" outlineLevel="0" collapsed="false">
      <c r="A1539" s="18" t="s">
        <v>251</v>
      </c>
      <c r="B1539" s="18" t="s">
        <v>275</v>
      </c>
      <c r="C1539" s="18" t="n">
        <v>42</v>
      </c>
      <c r="D1539" s="30" t="n">
        <v>1746.98</v>
      </c>
      <c r="E1539" s="18" t="n">
        <v>6</v>
      </c>
    </row>
    <row r="1540" customFormat="false" ht="15" hidden="false" customHeight="true" outlineLevel="0" collapsed="false">
      <c r="A1540" s="18" t="s">
        <v>251</v>
      </c>
      <c r="B1540" s="18" t="s">
        <v>276</v>
      </c>
      <c r="C1540" s="18" t="n">
        <v>59</v>
      </c>
      <c r="D1540" s="30" t="n">
        <v>2511.74</v>
      </c>
      <c r="E1540" s="18" t="n">
        <v>7</v>
      </c>
    </row>
    <row r="1541" customFormat="false" ht="15" hidden="false" customHeight="true" outlineLevel="0" collapsed="false">
      <c r="A1541" s="18" t="s">
        <v>251</v>
      </c>
      <c r="B1541" s="18" t="s">
        <v>277</v>
      </c>
      <c r="C1541" s="18" t="n">
        <v>52</v>
      </c>
      <c r="D1541" s="30" t="n">
        <v>2216.94</v>
      </c>
      <c r="E1541" s="18" t="n">
        <v>8</v>
      </c>
    </row>
    <row r="1542" customFormat="false" ht="15" hidden="false" customHeight="true" outlineLevel="0" collapsed="false">
      <c r="A1542" s="18" t="s">
        <v>251</v>
      </c>
      <c r="B1542" s="18" t="s">
        <v>278</v>
      </c>
      <c r="C1542" s="18" t="n">
        <v>43</v>
      </c>
      <c r="D1542" s="30" t="n">
        <v>1833.46</v>
      </c>
      <c r="E1542" s="18" t="n">
        <v>9</v>
      </c>
    </row>
    <row r="1543" customFormat="false" ht="15" hidden="false" customHeight="true" outlineLevel="0" collapsed="false">
      <c r="A1543" s="18" t="s">
        <v>251</v>
      </c>
      <c r="B1543" s="18" t="s">
        <v>279</v>
      </c>
      <c r="C1543" s="18" t="n">
        <v>40</v>
      </c>
      <c r="D1543" s="30" t="n">
        <v>1629.02</v>
      </c>
      <c r="E1543" s="18" t="n">
        <v>10</v>
      </c>
    </row>
    <row r="1544" customFormat="false" ht="15" hidden="false" customHeight="true" outlineLevel="0" collapsed="false">
      <c r="A1544" s="18" t="s">
        <v>251</v>
      </c>
      <c r="B1544" s="18" t="s">
        <v>280</v>
      </c>
      <c r="C1544" s="18" t="n">
        <v>54</v>
      </c>
      <c r="D1544" s="30" t="n">
        <v>2311.1</v>
      </c>
      <c r="E1544" s="18" t="n">
        <v>11</v>
      </c>
    </row>
    <row r="1545" customFormat="false" ht="15" hidden="false" customHeight="true" outlineLevel="0" collapsed="false">
      <c r="A1545" s="18" t="s">
        <v>251</v>
      </c>
      <c r="B1545" s="18" t="s">
        <v>281</v>
      </c>
      <c r="C1545" s="18" t="n">
        <v>46</v>
      </c>
      <c r="D1545" s="30" t="n">
        <v>1978.17</v>
      </c>
      <c r="E1545" s="18" t="n">
        <v>12</v>
      </c>
    </row>
    <row r="1546" customFormat="false" ht="15" hidden="false" customHeight="true" outlineLevel="0" collapsed="false">
      <c r="A1546" s="18" t="s">
        <v>251</v>
      </c>
      <c r="B1546" s="18" t="s">
        <v>282</v>
      </c>
      <c r="C1546" s="18" t="n">
        <v>44</v>
      </c>
      <c r="D1546" s="30" t="n">
        <v>1818.72</v>
      </c>
      <c r="E1546" s="18" t="n">
        <v>13</v>
      </c>
    </row>
    <row r="1547" customFormat="false" ht="15" hidden="false" customHeight="true" outlineLevel="0" collapsed="false">
      <c r="A1547" s="18" t="s">
        <v>251</v>
      </c>
      <c r="B1547" s="18" t="s">
        <v>283</v>
      </c>
      <c r="C1547" s="18" t="n">
        <v>44</v>
      </c>
      <c r="D1547" s="30" t="n">
        <v>1842.41</v>
      </c>
      <c r="E1547" s="18" t="n">
        <v>14</v>
      </c>
    </row>
    <row r="1548" customFormat="false" ht="15" hidden="false" customHeight="true" outlineLevel="0" collapsed="false">
      <c r="A1548" s="18" t="s">
        <v>251</v>
      </c>
      <c r="B1548" s="18" t="s">
        <v>284</v>
      </c>
      <c r="C1548" s="18" t="n">
        <v>47</v>
      </c>
      <c r="D1548" s="30" t="n">
        <v>2019.32</v>
      </c>
      <c r="E1548" s="18" t="n">
        <v>15</v>
      </c>
    </row>
    <row r="1549" customFormat="false" ht="15" hidden="false" customHeight="true" outlineLevel="0" collapsed="false">
      <c r="A1549" s="18" t="s">
        <v>251</v>
      </c>
      <c r="B1549" s="18" t="s">
        <v>285</v>
      </c>
      <c r="C1549" s="18" t="n">
        <v>43</v>
      </c>
      <c r="D1549" s="30" t="n">
        <v>1761.87</v>
      </c>
      <c r="E1549" s="18" t="n">
        <v>16</v>
      </c>
    </row>
    <row r="1550" customFormat="false" ht="15" hidden="false" customHeight="true" outlineLevel="0" collapsed="false">
      <c r="A1550" s="18" t="s">
        <v>251</v>
      </c>
      <c r="B1550" s="18" t="s">
        <v>286</v>
      </c>
      <c r="C1550" s="18" t="n">
        <v>34</v>
      </c>
      <c r="D1550" s="30" t="n">
        <v>1397.87</v>
      </c>
      <c r="E1550" s="18" t="n">
        <v>17</v>
      </c>
    </row>
    <row r="1551" customFormat="false" ht="15" hidden="false" customHeight="true" outlineLevel="0" collapsed="false">
      <c r="A1551" s="18" t="s">
        <v>251</v>
      </c>
      <c r="B1551" s="18" t="s">
        <v>287</v>
      </c>
      <c r="C1551" s="18" t="n">
        <v>48</v>
      </c>
      <c r="D1551" s="30" t="n">
        <v>2028.58</v>
      </c>
      <c r="E1551" s="18" t="n">
        <v>18</v>
      </c>
    </row>
    <row r="1552" customFormat="false" ht="15" hidden="false" customHeight="true" outlineLevel="0" collapsed="false">
      <c r="A1552" s="18" t="s">
        <v>251</v>
      </c>
      <c r="B1552" s="18" t="s">
        <v>288</v>
      </c>
      <c r="C1552" s="18" t="n">
        <v>34</v>
      </c>
      <c r="D1552" s="30" t="n">
        <v>1433.4</v>
      </c>
      <c r="E1552" s="18" t="n">
        <v>19</v>
      </c>
    </row>
    <row r="1553" customFormat="false" ht="15" hidden="false" customHeight="true" outlineLevel="0" collapsed="false">
      <c r="A1553" s="18" t="s">
        <v>251</v>
      </c>
      <c r="B1553" s="18" t="s">
        <v>289</v>
      </c>
      <c r="C1553" s="18" t="n">
        <v>39</v>
      </c>
      <c r="D1553" s="30" t="n">
        <v>1642.98</v>
      </c>
      <c r="E1553" s="18" t="n">
        <v>20</v>
      </c>
    </row>
    <row r="1554" customFormat="false" ht="15" hidden="false" customHeight="true" outlineLevel="0" collapsed="false">
      <c r="A1554" s="18" t="s">
        <v>251</v>
      </c>
      <c r="B1554" s="18" t="s">
        <v>290</v>
      </c>
      <c r="C1554" s="18" t="n">
        <v>39</v>
      </c>
      <c r="D1554" s="30" t="n">
        <v>1619.75</v>
      </c>
      <c r="E1554" s="18" t="n">
        <v>21</v>
      </c>
    </row>
    <row r="1555" customFormat="false" ht="15" hidden="false" customHeight="true" outlineLevel="0" collapsed="false">
      <c r="A1555" s="18" t="s">
        <v>251</v>
      </c>
      <c r="B1555" s="18" t="s">
        <v>291</v>
      </c>
      <c r="C1555" s="18" t="n">
        <v>42</v>
      </c>
      <c r="D1555" s="30" t="n">
        <v>1739.61</v>
      </c>
      <c r="E1555" s="18" t="n">
        <v>22</v>
      </c>
    </row>
    <row r="1556" customFormat="false" ht="15" hidden="false" customHeight="true" outlineLevel="0" collapsed="false">
      <c r="A1556" s="18" t="s">
        <v>251</v>
      </c>
      <c r="B1556" s="18" t="s">
        <v>292</v>
      </c>
      <c r="C1556" s="18" t="n">
        <v>34</v>
      </c>
      <c r="D1556" s="30" t="n">
        <v>1433.98</v>
      </c>
      <c r="E1556" s="18" t="n">
        <v>23</v>
      </c>
    </row>
    <row r="1557" customFormat="false" ht="15" hidden="false" customHeight="true" outlineLevel="0" collapsed="false">
      <c r="A1557" s="18" t="s">
        <v>251</v>
      </c>
      <c r="B1557" s="18" t="s">
        <v>293</v>
      </c>
      <c r="C1557" s="18" t="n">
        <v>40</v>
      </c>
      <c r="D1557" s="30" t="n">
        <v>1669.87</v>
      </c>
      <c r="E1557" s="18" t="n">
        <v>24</v>
      </c>
    </row>
    <row r="1558" customFormat="false" ht="15" hidden="false" customHeight="true" outlineLevel="0" collapsed="false">
      <c r="A1558" s="18" t="s">
        <v>251</v>
      </c>
      <c r="B1558" s="18" t="s">
        <v>294</v>
      </c>
      <c r="C1558" s="18" t="n">
        <v>39</v>
      </c>
      <c r="D1558" s="30" t="n">
        <v>1649.43</v>
      </c>
      <c r="E1558" s="18" t="n">
        <v>25</v>
      </c>
    </row>
    <row r="1559" customFormat="false" ht="15" hidden="false" customHeight="true" outlineLevel="0" collapsed="false">
      <c r="A1559" s="18" t="s">
        <v>251</v>
      </c>
      <c r="B1559" s="18" t="s">
        <v>295</v>
      </c>
      <c r="C1559" s="18" t="n">
        <v>46</v>
      </c>
      <c r="D1559" s="30" t="n">
        <v>1970.53</v>
      </c>
      <c r="E1559" s="18" t="n">
        <v>26</v>
      </c>
    </row>
    <row r="1560" customFormat="false" ht="15" hidden="false" customHeight="true" outlineLevel="0" collapsed="false">
      <c r="A1560" s="18" t="s">
        <v>251</v>
      </c>
      <c r="B1560" s="18" t="s">
        <v>296</v>
      </c>
      <c r="C1560" s="18" t="n">
        <v>48</v>
      </c>
      <c r="D1560" s="30" t="n">
        <v>2026.97</v>
      </c>
      <c r="E1560" s="18" t="n">
        <v>27</v>
      </c>
    </row>
    <row r="1561" customFormat="false" ht="15" hidden="false" customHeight="true" outlineLevel="0" collapsed="false">
      <c r="A1561" s="18" t="s">
        <v>251</v>
      </c>
      <c r="B1561" s="18" t="s">
        <v>297</v>
      </c>
      <c r="C1561" s="18" t="n">
        <v>43</v>
      </c>
      <c r="D1561" s="30" t="n">
        <v>1757.89</v>
      </c>
      <c r="E1561" s="18" t="n">
        <v>28</v>
      </c>
    </row>
    <row r="1562" customFormat="false" ht="15" hidden="false" customHeight="true" outlineLevel="0" collapsed="false">
      <c r="A1562" s="18" t="s">
        <v>251</v>
      </c>
      <c r="B1562" s="18" t="s">
        <v>298</v>
      </c>
      <c r="C1562" s="18" t="n">
        <v>54</v>
      </c>
      <c r="D1562" s="30" t="n">
        <v>2274.39</v>
      </c>
      <c r="E1562" s="18" t="n">
        <v>29</v>
      </c>
    </row>
    <row r="1563" customFormat="false" ht="15" hidden="false" customHeight="true" outlineLevel="0" collapsed="false">
      <c r="A1563" s="18" t="s">
        <v>251</v>
      </c>
      <c r="B1563" s="18" t="s">
        <v>299</v>
      </c>
      <c r="C1563" s="18" t="n">
        <v>52</v>
      </c>
      <c r="D1563" s="30" t="n">
        <v>2188.87</v>
      </c>
      <c r="E1563" s="18" t="n">
        <v>30</v>
      </c>
    </row>
    <row r="1564" customFormat="false" ht="15" hidden="false" customHeight="true" outlineLevel="0" collapsed="false">
      <c r="A1564" s="18" t="s">
        <v>251</v>
      </c>
      <c r="B1564" s="18" t="s">
        <v>300</v>
      </c>
      <c r="C1564" s="18" t="n">
        <v>43</v>
      </c>
      <c r="D1564" s="30" t="n">
        <v>1835.21</v>
      </c>
      <c r="E1564" s="18" t="n">
        <v>31</v>
      </c>
    </row>
    <row r="1565" customFormat="false" ht="15" hidden="false" customHeight="true" outlineLevel="0" collapsed="false">
      <c r="A1565" s="18" t="s">
        <v>251</v>
      </c>
      <c r="B1565" s="18" t="s">
        <v>301</v>
      </c>
      <c r="C1565" s="18" t="n">
        <v>40</v>
      </c>
      <c r="D1565" s="30" t="n">
        <v>1705.4</v>
      </c>
      <c r="E1565" s="18" t="n">
        <v>32</v>
      </c>
    </row>
    <row r="1566" customFormat="false" ht="15" hidden="false" customHeight="true" outlineLevel="0" collapsed="false">
      <c r="A1566" s="18" t="s">
        <v>251</v>
      </c>
      <c r="B1566" s="18" t="s">
        <v>302</v>
      </c>
      <c r="C1566" s="18" t="n">
        <v>49</v>
      </c>
      <c r="D1566" s="30" t="n">
        <v>2024.13</v>
      </c>
      <c r="E1566" s="18" t="n">
        <v>33</v>
      </c>
    </row>
    <row r="1567" customFormat="false" ht="15" hidden="false" customHeight="true" outlineLevel="0" collapsed="false">
      <c r="A1567" s="18" t="s">
        <v>251</v>
      </c>
      <c r="B1567" s="18" t="s">
        <v>303</v>
      </c>
      <c r="C1567" s="18" t="n">
        <v>54</v>
      </c>
      <c r="D1567" s="30" t="n">
        <v>2303.83</v>
      </c>
      <c r="E1567" s="18" t="n">
        <v>34</v>
      </c>
    </row>
    <row r="1568" customFormat="false" ht="15" hidden="false" customHeight="true" outlineLevel="0" collapsed="false">
      <c r="A1568" s="18" t="s">
        <v>251</v>
      </c>
      <c r="B1568" s="18" t="s">
        <v>304</v>
      </c>
      <c r="C1568" s="18" t="n">
        <v>46</v>
      </c>
      <c r="D1568" s="30" t="n">
        <v>1874.23</v>
      </c>
      <c r="E1568" s="18" t="n">
        <v>35</v>
      </c>
    </row>
    <row r="1569" customFormat="false" ht="15" hidden="false" customHeight="true" outlineLevel="0" collapsed="false">
      <c r="A1569" s="18" t="s">
        <v>251</v>
      </c>
      <c r="B1569" s="18" t="s">
        <v>305</v>
      </c>
      <c r="C1569" s="18" t="n">
        <v>51</v>
      </c>
      <c r="D1569" s="30" t="n">
        <v>2116.16</v>
      </c>
      <c r="E1569" s="18" t="n">
        <v>36</v>
      </c>
    </row>
    <row r="1570" customFormat="false" ht="15" hidden="false" customHeight="true" outlineLevel="0" collapsed="false">
      <c r="A1570" s="18" t="s">
        <v>251</v>
      </c>
      <c r="B1570" s="18" t="s">
        <v>306</v>
      </c>
      <c r="C1570" s="18" t="n">
        <v>49</v>
      </c>
      <c r="D1570" s="30" t="n">
        <v>2020.49</v>
      </c>
      <c r="E1570" s="18" t="n">
        <v>37</v>
      </c>
    </row>
    <row r="1571" customFormat="false" ht="15" hidden="false" customHeight="true" outlineLevel="0" collapsed="false">
      <c r="A1571" s="18" t="s">
        <v>251</v>
      </c>
      <c r="B1571" s="18" t="s">
        <v>307</v>
      </c>
      <c r="C1571" s="18" t="n">
        <v>58</v>
      </c>
      <c r="D1571" s="30" t="n">
        <v>2398.93</v>
      </c>
      <c r="E1571" s="18" t="n">
        <v>38</v>
      </c>
    </row>
    <row r="1572" customFormat="false" ht="15" hidden="false" customHeight="true" outlineLevel="0" collapsed="false">
      <c r="A1572" s="18" t="s">
        <v>251</v>
      </c>
      <c r="B1572" s="18" t="s">
        <v>308</v>
      </c>
      <c r="C1572" s="18" t="n">
        <v>41</v>
      </c>
      <c r="D1572" s="30" t="n">
        <v>1697.02</v>
      </c>
      <c r="E1572" s="18" t="n">
        <v>39</v>
      </c>
    </row>
    <row r="1573" customFormat="false" ht="15" hidden="false" customHeight="true" outlineLevel="0" collapsed="false">
      <c r="A1573" s="18" t="s">
        <v>251</v>
      </c>
      <c r="B1573" s="18" t="s">
        <v>309</v>
      </c>
      <c r="C1573" s="18" t="n">
        <v>51</v>
      </c>
      <c r="D1573" s="30" t="n">
        <v>2112.01</v>
      </c>
      <c r="E1573" s="18" t="n">
        <v>40</v>
      </c>
    </row>
    <row r="1574" customFormat="false" ht="15" hidden="false" customHeight="true" outlineLevel="0" collapsed="false">
      <c r="A1574" s="18" t="s">
        <v>251</v>
      </c>
      <c r="B1574" s="18" t="s">
        <v>310</v>
      </c>
      <c r="C1574" s="18" t="n">
        <v>49</v>
      </c>
      <c r="D1574" s="30" t="n">
        <v>2009.6</v>
      </c>
      <c r="E1574" s="18" t="n">
        <v>41</v>
      </c>
    </row>
    <row r="1575" customFormat="false" ht="15" hidden="false" customHeight="true" outlineLevel="0" collapsed="false">
      <c r="A1575" s="18" t="s">
        <v>251</v>
      </c>
      <c r="B1575" s="18" t="s">
        <v>311</v>
      </c>
      <c r="C1575" s="18" t="n">
        <v>44</v>
      </c>
      <c r="D1575" s="30" t="n">
        <v>1793.34</v>
      </c>
      <c r="E1575" s="18" t="n">
        <v>42</v>
      </c>
    </row>
    <row r="1576" customFormat="false" ht="15" hidden="false" customHeight="true" outlineLevel="0" collapsed="false">
      <c r="A1576" s="18" t="s">
        <v>251</v>
      </c>
      <c r="B1576" s="18" t="s">
        <v>312</v>
      </c>
      <c r="C1576" s="18" t="n">
        <v>33</v>
      </c>
      <c r="D1576" s="30" t="n">
        <v>1415.56</v>
      </c>
      <c r="E1576" s="18" t="n">
        <v>43</v>
      </c>
    </row>
    <row r="1577" customFormat="false" ht="15" hidden="false" customHeight="true" outlineLevel="0" collapsed="false">
      <c r="A1577" s="18" t="s">
        <v>251</v>
      </c>
      <c r="B1577" s="18" t="s">
        <v>313</v>
      </c>
      <c r="C1577" s="18" t="n">
        <v>43</v>
      </c>
      <c r="D1577" s="30" t="n">
        <v>1819.8</v>
      </c>
      <c r="E1577" s="18" t="n">
        <v>44</v>
      </c>
    </row>
    <row r="1578" customFormat="false" ht="15" hidden="false" customHeight="true" outlineLevel="0" collapsed="false">
      <c r="A1578" s="18" t="s">
        <v>251</v>
      </c>
      <c r="B1578" s="18" t="s">
        <v>314</v>
      </c>
      <c r="C1578" s="18" t="n">
        <v>35</v>
      </c>
      <c r="D1578" s="30" t="n">
        <v>1458.4</v>
      </c>
      <c r="E1578" s="18" t="n">
        <v>45</v>
      </c>
    </row>
    <row r="1579" customFormat="false" ht="15" hidden="false" customHeight="true" outlineLevel="0" collapsed="false">
      <c r="A1579" s="18" t="s">
        <v>251</v>
      </c>
      <c r="B1579" s="18" t="s">
        <v>315</v>
      </c>
      <c r="C1579" s="18" t="n">
        <v>51</v>
      </c>
      <c r="D1579" s="30" t="n">
        <v>2087.78</v>
      </c>
      <c r="E1579" s="18" t="n">
        <v>46</v>
      </c>
    </row>
    <row r="1580" customFormat="false" ht="15" hidden="false" customHeight="true" outlineLevel="0" collapsed="false">
      <c r="A1580" s="18" t="s">
        <v>251</v>
      </c>
      <c r="B1580" s="18" t="s">
        <v>316</v>
      </c>
      <c r="C1580" s="18" t="n">
        <v>41</v>
      </c>
      <c r="D1580" s="30" t="n">
        <v>1724.48</v>
      </c>
      <c r="E1580" s="18" t="n">
        <v>47</v>
      </c>
    </row>
    <row r="1581" customFormat="false" ht="15" hidden="false" customHeight="true" outlineLevel="0" collapsed="false">
      <c r="A1581" s="18" t="s">
        <v>251</v>
      </c>
      <c r="B1581" s="18" t="s">
        <v>317</v>
      </c>
      <c r="C1581" s="18" t="n">
        <v>52</v>
      </c>
      <c r="D1581" s="30" t="n">
        <v>2191.72</v>
      </c>
      <c r="E1581" s="18" t="n">
        <v>48</v>
      </c>
    </row>
    <row r="1582" customFormat="false" ht="15" hidden="false" customHeight="true" outlineLevel="0" collapsed="false">
      <c r="A1582" s="18" t="s">
        <v>251</v>
      </c>
      <c r="B1582" s="18" t="s">
        <v>318</v>
      </c>
      <c r="C1582" s="18" t="n">
        <v>43</v>
      </c>
      <c r="D1582" s="30" t="n">
        <v>1783.76</v>
      </c>
      <c r="E1582" s="18" t="n">
        <v>49</v>
      </c>
    </row>
    <row r="1583" customFormat="false" ht="15" hidden="false" customHeight="true" outlineLevel="0" collapsed="false">
      <c r="A1583" s="18" t="s">
        <v>251</v>
      </c>
      <c r="B1583" s="18" t="s">
        <v>319</v>
      </c>
      <c r="C1583" s="18" t="n">
        <v>40</v>
      </c>
      <c r="D1583" s="30" t="n">
        <v>1712.82</v>
      </c>
      <c r="E1583" s="18" t="n">
        <v>50</v>
      </c>
    </row>
    <row r="1584" customFormat="false" ht="15" hidden="false" customHeight="true" outlineLevel="0" collapsed="false">
      <c r="A1584" s="18" t="s">
        <v>251</v>
      </c>
      <c r="B1584" s="18" t="s">
        <v>320</v>
      </c>
      <c r="C1584" s="18" t="n">
        <v>52</v>
      </c>
      <c r="D1584" s="30" t="n">
        <v>2186.58</v>
      </c>
      <c r="E1584" s="18" t="n">
        <v>51</v>
      </c>
    </row>
    <row r="1585" customFormat="false" ht="15" hidden="false" customHeight="true" outlineLevel="0" collapsed="false">
      <c r="A1585" s="18" t="s">
        <v>251</v>
      </c>
      <c r="B1585" s="18" t="s">
        <v>321</v>
      </c>
      <c r="C1585" s="18" t="n">
        <v>48</v>
      </c>
      <c r="D1585" s="30" t="n">
        <v>1955.9</v>
      </c>
      <c r="E1585" s="18" t="n">
        <v>52</v>
      </c>
    </row>
    <row r="1586" customFormat="false" ht="15" hidden="false" customHeight="true" outlineLevel="0" collapsed="false">
      <c r="A1586" s="18" t="s">
        <v>254</v>
      </c>
      <c r="B1586" s="18" t="s">
        <v>270</v>
      </c>
      <c r="C1586" s="18" t="n">
        <v>194</v>
      </c>
      <c r="D1586" s="30" t="n">
        <v>361.53</v>
      </c>
      <c r="E1586" s="18" t="n">
        <v>1</v>
      </c>
    </row>
    <row r="1587" customFormat="false" ht="15" hidden="false" customHeight="true" outlineLevel="0" collapsed="false">
      <c r="A1587" s="18" t="s">
        <v>254</v>
      </c>
      <c r="B1587" s="18" t="s">
        <v>271</v>
      </c>
      <c r="C1587" s="18" t="n">
        <v>222</v>
      </c>
      <c r="D1587" s="30" t="n">
        <v>435.53</v>
      </c>
      <c r="E1587" s="18" t="n">
        <v>2</v>
      </c>
    </row>
    <row r="1588" customFormat="false" ht="15" hidden="false" customHeight="true" outlineLevel="0" collapsed="false">
      <c r="A1588" s="18" t="s">
        <v>254</v>
      </c>
      <c r="B1588" s="18" t="s">
        <v>272</v>
      </c>
      <c r="C1588" s="18" t="n">
        <v>209</v>
      </c>
      <c r="D1588" s="30" t="n">
        <v>396.35</v>
      </c>
      <c r="E1588" s="18" t="n">
        <v>3</v>
      </c>
    </row>
    <row r="1589" customFormat="false" ht="15" hidden="false" customHeight="true" outlineLevel="0" collapsed="false">
      <c r="A1589" s="18" t="s">
        <v>254</v>
      </c>
      <c r="B1589" s="18" t="s">
        <v>273</v>
      </c>
      <c r="C1589" s="18" t="n">
        <v>201</v>
      </c>
      <c r="D1589" s="30" t="n">
        <v>386.22</v>
      </c>
      <c r="E1589" s="18" t="n">
        <v>4</v>
      </c>
    </row>
    <row r="1590" customFormat="false" ht="15" hidden="false" customHeight="true" outlineLevel="0" collapsed="false">
      <c r="A1590" s="18" t="s">
        <v>254</v>
      </c>
      <c r="B1590" s="18" t="s">
        <v>274</v>
      </c>
      <c r="C1590" s="18" t="n">
        <v>220</v>
      </c>
      <c r="D1590" s="30" t="n">
        <v>421.27</v>
      </c>
      <c r="E1590" s="18" t="n">
        <v>5</v>
      </c>
    </row>
    <row r="1591" customFormat="false" ht="15" hidden="false" customHeight="true" outlineLevel="0" collapsed="false">
      <c r="A1591" s="18" t="s">
        <v>254</v>
      </c>
      <c r="B1591" s="18" t="s">
        <v>275</v>
      </c>
      <c r="C1591" s="18" t="n">
        <v>189</v>
      </c>
      <c r="D1591" s="30" t="n">
        <v>359.33</v>
      </c>
      <c r="E1591" s="18" t="n">
        <v>6</v>
      </c>
    </row>
    <row r="1592" customFormat="false" ht="15" hidden="false" customHeight="true" outlineLevel="0" collapsed="false">
      <c r="A1592" s="18" t="s">
        <v>254</v>
      </c>
      <c r="B1592" s="18" t="s">
        <v>276</v>
      </c>
      <c r="C1592" s="18" t="n">
        <v>174</v>
      </c>
      <c r="D1592" s="30" t="n">
        <v>323.31</v>
      </c>
      <c r="E1592" s="18" t="n">
        <v>7</v>
      </c>
    </row>
    <row r="1593" customFormat="false" ht="15" hidden="false" customHeight="true" outlineLevel="0" collapsed="false">
      <c r="A1593" s="18" t="s">
        <v>254</v>
      </c>
      <c r="B1593" s="18" t="s">
        <v>277</v>
      </c>
      <c r="C1593" s="18" t="n">
        <v>182</v>
      </c>
      <c r="D1593" s="30" t="n">
        <v>346.16</v>
      </c>
      <c r="E1593" s="18" t="n">
        <v>8</v>
      </c>
    </row>
    <row r="1594" customFormat="false" ht="15" hidden="false" customHeight="true" outlineLevel="0" collapsed="false">
      <c r="A1594" s="18" t="s">
        <v>254</v>
      </c>
      <c r="B1594" s="18" t="s">
        <v>278</v>
      </c>
      <c r="C1594" s="18" t="n">
        <v>194</v>
      </c>
      <c r="D1594" s="30" t="n">
        <v>364.85</v>
      </c>
      <c r="E1594" s="18" t="n">
        <v>9</v>
      </c>
    </row>
    <row r="1595" customFormat="false" ht="15" hidden="false" customHeight="true" outlineLevel="0" collapsed="false">
      <c r="A1595" s="18" t="s">
        <v>254</v>
      </c>
      <c r="B1595" s="18" t="s">
        <v>279</v>
      </c>
      <c r="C1595" s="18" t="n">
        <v>208</v>
      </c>
      <c r="D1595" s="30" t="n">
        <v>401.67</v>
      </c>
      <c r="E1595" s="18" t="n">
        <v>10</v>
      </c>
    </row>
    <row r="1596" customFormat="false" ht="15" hidden="false" customHeight="true" outlineLevel="0" collapsed="false">
      <c r="A1596" s="18" t="s">
        <v>254</v>
      </c>
      <c r="B1596" s="18" t="s">
        <v>280</v>
      </c>
      <c r="C1596" s="18" t="n">
        <v>169</v>
      </c>
      <c r="D1596" s="30" t="n">
        <v>316.07</v>
      </c>
      <c r="E1596" s="18" t="n">
        <v>11</v>
      </c>
    </row>
    <row r="1597" customFormat="false" ht="15" hidden="false" customHeight="true" outlineLevel="0" collapsed="false">
      <c r="A1597" s="18" t="s">
        <v>254</v>
      </c>
      <c r="B1597" s="18" t="s">
        <v>281</v>
      </c>
      <c r="C1597" s="18" t="n">
        <v>174</v>
      </c>
      <c r="D1597" s="30" t="n">
        <v>335.73</v>
      </c>
      <c r="E1597" s="18" t="n">
        <v>12</v>
      </c>
    </row>
    <row r="1598" customFormat="false" ht="15" hidden="false" customHeight="true" outlineLevel="0" collapsed="false">
      <c r="A1598" s="18" t="s">
        <v>254</v>
      </c>
      <c r="B1598" s="18" t="s">
        <v>282</v>
      </c>
      <c r="C1598" s="18" t="n">
        <v>162</v>
      </c>
      <c r="D1598" s="30" t="n">
        <v>313.77</v>
      </c>
      <c r="E1598" s="18" t="n">
        <v>13</v>
      </c>
    </row>
    <row r="1599" customFormat="false" ht="15" hidden="false" customHeight="true" outlineLevel="0" collapsed="false">
      <c r="A1599" s="18" t="s">
        <v>254</v>
      </c>
      <c r="B1599" s="18" t="s">
        <v>283</v>
      </c>
      <c r="C1599" s="18" t="n">
        <v>190</v>
      </c>
      <c r="D1599" s="30" t="n">
        <v>368.53</v>
      </c>
      <c r="E1599" s="18" t="n">
        <v>14</v>
      </c>
    </row>
    <row r="1600" customFormat="false" ht="15" hidden="false" customHeight="true" outlineLevel="0" collapsed="false">
      <c r="A1600" s="18" t="s">
        <v>254</v>
      </c>
      <c r="B1600" s="18" t="s">
        <v>284</v>
      </c>
      <c r="C1600" s="18" t="n">
        <v>203</v>
      </c>
      <c r="D1600" s="30" t="n">
        <v>393.65</v>
      </c>
      <c r="E1600" s="18" t="n">
        <v>15</v>
      </c>
    </row>
    <row r="1601" customFormat="false" ht="15" hidden="false" customHeight="true" outlineLevel="0" collapsed="false">
      <c r="A1601" s="18" t="s">
        <v>254</v>
      </c>
      <c r="B1601" s="18" t="s">
        <v>285</v>
      </c>
      <c r="C1601" s="18" t="n">
        <v>140</v>
      </c>
      <c r="D1601" s="30" t="n">
        <v>272.73</v>
      </c>
      <c r="E1601" s="18" t="n">
        <v>16</v>
      </c>
    </row>
    <row r="1602" customFormat="false" ht="15" hidden="false" customHeight="true" outlineLevel="0" collapsed="false">
      <c r="A1602" s="18" t="s">
        <v>254</v>
      </c>
      <c r="B1602" s="18" t="s">
        <v>286</v>
      </c>
      <c r="C1602" s="18" t="n">
        <v>165</v>
      </c>
      <c r="D1602" s="30" t="n">
        <v>320.86</v>
      </c>
      <c r="E1602" s="18" t="n">
        <v>17</v>
      </c>
    </row>
    <row r="1603" customFormat="false" ht="15" hidden="false" customHeight="true" outlineLevel="0" collapsed="false">
      <c r="A1603" s="18" t="s">
        <v>254</v>
      </c>
      <c r="B1603" s="18" t="s">
        <v>287</v>
      </c>
      <c r="C1603" s="18" t="n">
        <v>170</v>
      </c>
      <c r="D1603" s="30" t="n">
        <v>324.22</v>
      </c>
      <c r="E1603" s="18" t="n">
        <v>18</v>
      </c>
    </row>
    <row r="1604" customFormat="false" ht="15" hidden="false" customHeight="true" outlineLevel="0" collapsed="false">
      <c r="A1604" s="18" t="s">
        <v>254</v>
      </c>
      <c r="B1604" s="18" t="s">
        <v>288</v>
      </c>
      <c r="C1604" s="18" t="n">
        <v>144</v>
      </c>
      <c r="D1604" s="30" t="n">
        <v>275.29</v>
      </c>
      <c r="E1604" s="18" t="n">
        <v>19</v>
      </c>
    </row>
    <row r="1605" customFormat="false" ht="15" hidden="false" customHeight="true" outlineLevel="0" collapsed="false">
      <c r="A1605" s="18" t="s">
        <v>254</v>
      </c>
      <c r="B1605" s="18" t="s">
        <v>289</v>
      </c>
      <c r="C1605" s="18" t="n">
        <v>123</v>
      </c>
      <c r="D1605" s="30" t="n">
        <v>233.96</v>
      </c>
      <c r="E1605" s="18" t="n">
        <v>20</v>
      </c>
    </row>
    <row r="1606" customFormat="false" ht="15" hidden="false" customHeight="true" outlineLevel="0" collapsed="false">
      <c r="A1606" s="18" t="s">
        <v>254</v>
      </c>
      <c r="B1606" s="18" t="s">
        <v>290</v>
      </c>
      <c r="C1606" s="18" t="n">
        <v>169</v>
      </c>
      <c r="D1606" s="30" t="n">
        <v>328.59</v>
      </c>
      <c r="E1606" s="18" t="n">
        <v>21</v>
      </c>
    </row>
    <row r="1607" customFormat="false" ht="15" hidden="false" customHeight="true" outlineLevel="0" collapsed="false">
      <c r="A1607" s="18" t="s">
        <v>254</v>
      </c>
      <c r="B1607" s="18" t="s">
        <v>291</v>
      </c>
      <c r="C1607" s="18" t="n">
        <v>123</v>
      </c>
      <c r="D1607" s="30" t="n">
        <v>231.39</v>
      </c>
      <c r="E1607" s="18" t="n">
        <v>22</v>
      </c>
    </row>
    <row r="1608" customFormat="false" ht="15" hidden="false" customHeight="true" outlineLevel="0" collapsed="false">
      <c r="A1608" s="18" t="s">
        <v>254</v>
      </c>
      <c r="B1608" s="18" t="s">
        <v>292</v>
      </c>
      <c r="C1608" s="18" t="n">
        <v>180</v>
      </c>
      <c r="D1608" s="30" t="n">
        <v>349.1</v>
      </c>
      <c r="E1608" s="18" t="n">
        <v>23</v>
      </c>
    </row>
    <row r="1609" customFormat="false" ht="15" hidden="false" customHeight="true" outlineLevel="0" collapsed="false">
      <c r="A1609" s="18" t="s">
        <v>254</v>
      </c>
      <c r="B1609" s="18" t="s">
        <v>293</v>
      </c>
      <c r="C1609" s="18" t="n">
        <v>142</v>
      </c>
      <c r="D1609" s="30" t="n">
        <v>277.84</v>
      </c>
      <c r="E1609" s="18" t="n">
        <v>24</v>
      </c>
    </row>
    <row r="1610" customFormat="false" ht="15" hidden="false" customHeight="true" outlineLevel="0" collapsed="false">
      <c r="A1610" s="18" t="s">
        <v>254</v>
      </c>
      <c r="B1610" s="18" t="s">
        <v>294</v>
      </c>
      <c r="C1610" s="18" t="n">
        <v>131</v>
      </c>
      <c r="D1610" s="30" t="n">
        <v>251.4</v>
      </c>
      <c r="E1610" s="18" t="n">
        <v>25</v>
      </c>
    </row>
    <row r="1611" customFormat="false" ht="15" hidden="false" customHeight="true" outlineLevel="0" collapsed="false">
      <c r="A1611" s="18" t="s">
        <v>254</v>
      </c>
      <c r="B1611" s="18" t="s">
        <v>295</v>
      </c>
      <c r="C1611" s="18" t="n">
        <v>158</v>
      </c>
      <c r="D1611" s="30" t="n">
        <v>310.38</v>
      </c>
      <c r="E1611" s="18" t="n">
        <v>26</v>
      </c>
    </row>
    <row r="1612" customFormat="false" ht="15" hidden="false" customHeight="true" outlineLevel="0" collapsed="false">
      <c r="A1612" s="18" t="s">
        <v>254</v>
      </c>
      <c r="B1612" s="18" t="s">
        <v>296</v>
      </c>
      <c r="C1612" s="18" t="n">
        <v>173</v>
      </c>
      <c r="D1612" s="30" t="n">
        <v>334.89</v>
      </c>
      <c r="E1612" s="18" t="n">
        <v>27</v>
      </c>
    </row>
    <row r="1613" customFormat="false" ht="15" hidden="false" customHeight="true" outlineLevel="0" collapsed="false">
      <c r="A1613" s="18" t="s">
        <v>254</v>
      </c>
      <c r="B1613" s="18" t="s">
        <v>297</v>
      </c>
      <c r="C1613" s="18" t="n">
        <v>183</v>
      </c>
      <c r="D1613" s="30" t="n">
        <v>348.3</v>
      </c>
      <c r="E1613" s="18" t="n">
        <v>28</v>
      </c>
    </row>
    <row r="1614" customFormat="false" ht="15" hidden="false" customHeight="true" outlineLevel="0" collapsed="false">
      <c r="A1614" s="18" t="s">
        <v>254</v>
      </c>
      <c r="B1614" s="18" t="s">
        <v>298</v>
      </c>
      <c r="C1614" s="18" t="n">
        <v>200</v>
      </c>
      <c r="D1614" s="30" t="n">
        <v>374.87</v>
      </c>
      <c r="E1614" s="18" t="n">
        <v>29</v>
      </c>
    </row>
    <row r="1615" customFormat="false" ht="15" hidden="false" customHeight="true" outlineLevel="0" collapsed="false">
      <c r="A1615" s="18" t="s">
        <v>254</v>
      </c>
      <c r="B1615" s="18" t="s">
        <v>299</v>
      </c>
      <c r="C1615" s="18" t="n">
        <v>197</v>
      </c>
      <c r="D1615" s="30" t="n">
        <v>376.51</v>
      </c>
      <c r="E1615" s="18" t="n">
        <v>30</v>
      </c>
    </row>
    <row r="1616" customFormat="false" ht="15" hidden="false" customHeight="true" outlineLevel="0" collapsed="false">
      <c r="A1616" s="18" t="s">
        <v>254</v>
      </c>
      <c r="B1616" s="18" t="s">
        <v>300</v>
      </c>
      <c r="C1616" s="18" t="n">
        <v>238</v>
      </c>
      <c r="D1616" s="30" t="n">
        <v>460.5</v>
      </c>
      <c r="E1616" s="18" t="n">
        <v>31</v>
      </c>
    </row>
    <row r="1617" customFormat="false" ht="15" hidden="false" customHeight="true" outlineLevel="0" collapsed="false">
      <c r="A1617" s="18" t="s">
        <v>254</v>
      </c>
      <c r="B1617" s="18" t="s">
        <v>301</v>
      </c>
      <c r="C1617" s="18" t="n">
        <v>197</v>
      </c>
      <c r="D1617" s="30" t="n">
        <v>384.77</v>
      </c>
      <c r="E1617" s="18" t="n">
        <v>32</v>
      </c>
    </row>
    <row r="1618" customFormat="false" ht="15" hidden="false" customHeight="true" outlineLevel="0" collapsed="false">
      <c r="A1618" s="18" t="s">
        <v>254</v>
      </c>
      <c r="B1618" s="18" t="s">
        <v>302</v>
      </c>
      <c r="C1618" s="18" t="n">
        <v>208</v>
      </c>
      <c r="D1618" s="30" t="n">
        <v>390.14</v>
      </c>
      <c r="E1618" s="18" t="n">
        <v>33</v>
      </c>
    </row>
    <row r="1619" customFormat="false" ht="15" hidden="false" customHeight="true" outlineLevel="0" collapsed="false">
      <c r="A1619" s="18" t="s">
        <v>254</v>
      </c>
      <c r="B1619" s="18" t="s">
        <v>303</v>
      </c>
      <c r="C1619" s="18" t="n">
        <v>206</v>
      </c>
      <c r="D1619" s="30" t="n">
        <v>393.73</v>
      </c>
      <c r="E1619" s="18" t="n">
        <v>34</v>
      </c>
    </row>
    <row r="1620" customFormat="false" ht="15" hidden="false" customHeight="true" outlineLevel="0" collapsed="false">
      <c r="A1620" s="18" t="s">
        <v>254</v>
      </c>
      <c r="B1620" s="18" t="s">
        <v>304</v>
      </c>
      <c r="C1620" s="18" t="n">
        <v>160</v>
      </c>
      <c r="D1620" s="30" t="n">
        <v>310.21</v>
      </c>
      <c r="E1620" s="18" t="n">
        <v>35</v>
      </c>
    </row>
    <row r="1621" customFormat="false" ht="15" hidden="false" customHeight="true" outlineLevel="0" collapsed="false">
      <c r="A1621" s="18" t="s">
        <v>254</v>
      </c>
      <c r="B1621" s="18" t="s">
        <v>305</v>
      </c>
      <c r="C1621" s="18" t="n">
        <v>169</v>
      </c>
      <c r="D1621" s="30" t="n">
        <v>319.77</v>
      </c>
      <c r="E1621" s="18" t="n">
        <v>36</v>
      </c>
    </row>
    <row r="1622" customFormat="false" ht="15" hidden="false" customHeight="true" outlineLevel="0" collapsed="false">
      <c r="A1622" s="18" t="s">
        <v>254</v>
      </c>
      <c r="B1622" s="18" t="s">
        <v>306</v>
      </c>
      <c r="C1622" s="18" t="n">
        <v>194</v>
      </c>
      <c r="D1622" s="30" t="n">
        <v>365.61</v>
      </c>
      <c r="E1622" s="18" t="n">
        <v>37</v>
      </c>
    </row>
    <row r="1623" customFormat="false" ht="15" hidden="false" customHeight="true" outlineLevel="0" collapsed="false">
      <c r="A1623" s="18" t="s">
        <v>254</v>
      </c>
      <c r="B1623" s="18" t="s">
        <v>307</v>
      </c>
      <c r="C1623" s="18" t="n">
        <v>197</v>
      </c>
      <c r="D1623" s="30" t="n">
        <v>368.71</v>
      </c>
      <c r="E1623" s="18" t="n">
        <v>38</v>
      </c>
    </row>
    <row r="1624" customFormat="false" ht="15" hidden="false" customHeight="true" outlineLevel="0" collapsed="false">
      <c r="A1624" s="18" t="s">
        <v>254</v>
      </c>
      <c r="B1624" s="18" t="s">
        <v>308</v>
      </c>
      <c r="C1624" s="18" t="n">
        <v>138</v>
      </c>
      <c r="D1624" s="30" t="n">
        <v>260.84</v>
      </c>
      <c r="E1624" s="18" t="n">
        <v>39</v>
      </c>
    </row>
    <row r="1625" customFormat="false" ht="15" hidden="false" customHeight="true" outlineLevel="0" collapsed="false">
      <c r="A1625" s="18" t="s">
        <v>254</v>
      </c>
      <c r="B1625" s="18" t="s">
        <v>309</v>
      </c>
      <c r="C1625" s="18" t="n">
        <v>216</v>
      </c>
      <c r="D1625" s="30" t="n">
        <v>406.34</v>
      </c>
      <c r="E1625" s="18" t="n">
        <v>40</v>
      </c>
    </row>
    <row r="1626" customFormat="false" ht="15" hidden="false" customHeight="true" outlineLevel="0" collapsed="false">
      <c r="A1626" s="18" t="s">
        <v>254</v>
      </c>
      <c r="B1626" s="18" t="s">
        <v>310</v>
      </c>
      <c r="C1626" s="18" t="n">
        <v>181</v>
      </c>
      <c r="D1626" s="30" t="n">
        <v>351.73</v>
      </c>
      <c r="E1626" s="18" t="n">
        <v>41</v>
      </c>
    </row>
    <row r="1627" customFormat="false" ht="15" hidden="false" customHeight="true" outlineLevel="0" collapsed="false">
      <c r="A1627" s="18" t="s">
        <v>254</v>
      </c>
      <c r="B1627" s="18" t="s">
        <v>311</v>
      </c>
      <c r="C1627" s="18" t="n">
        <v>164</v>
      </c>
      <c r="D1627" s="30" t="n">
        <v>310.18</v>
      </c>
      <c r="E1627" s="18" t="n">
        <v>42</v>
      </c>
    </row>
    <row r="1628" customFormat="false" ht="15" hidden="false" customHeight="true" outlineLevel="0" collapsed="false">
      <c r="A1628" s="18" t="s">
        <v>254</v>
      </c>
      <c r="B1628" s="18" t="s">
        <v>312</v>
      </c>
      <c r="C1628" s="18" t="n">
        <v>168</v>
      </c>
      <c r="D1628" s="30" t="n">
        <v>323.4</v>
      </c>
      <c r="E1628" s="18" t="n">
        <v>43</v>
      </c>
    </row>
    <row r="1629" customFormat="false" ht="15" hidden="false" customHeight="true" outlineLevel="0" collapsed="false">
      <c r="A1629" s="18" t="s">
        <v>254</v>
      </c>
      <c r="B1629" s="18" t="s">
        <v>313</v>
      </c>
      <c r="C1629" s="18" t="n">
        <v>146</v>
      </c>
      <c r="D1629" s="30" t="n">
        <v>286.58</v>
      </c>
      <c r="E1629" s="18" t="n">
        <v>44</v>
      </c>
    </row>
    <row r="1630" customFormat="false" ht="15" hidden="false" customHeight="true" outlineLevel="0" collapsed="false">
      <c r="A1630" s="18" t="s">
        <v>254</v>
      </c>
      <c r="B1630" s="18" t="s">
        <v>314</v>
      </c>
      <c r="C1630" s="18" t="n">
        <v>156</v>
      </c>
      <c r="D1630" s="30" t="n">
        <v>303.64</v>
      </c>
      <c r="E1630" s="18" t="n">
        <v>45</v>
      </c>
    </row>
    <row r="1631" customFormat="false" ht="15" hidden="false" customHeight="true" outlineLevel="0" collapsed="false">
      <c r="A1631" s="18" t="s">
        <v>254</v>
      </c>
      <c r="B1631" s="18" t="s">
        <v>315</v>
      </c>
      <c r="C1631" s="18" t="n">
        <v>157</v>
      </c>
      <c r="D1631" s="30" t="n">
        <v>299.71</v>
      </c>
      <c r="E1631" s="18" t="n">
        <v>46</v>
      </c>
    </row>
    <row r="1632" customFormat="false" ht="15" hidden="false" customHeight="true" outlineLevel="0" collapsed="false">
      <c r="A1632" s="18" t="s">
        <v>254</v>
      </c>
      <c r="B1632" s="18" t="s">
        <v>316</v>
      </c>
      <c r="C1632" s="18" t="n">
        <v>174</v>
      </c>
      <c r="D1632" s="30" t="n">
        <v>323.93</v>
      </c>
      <c r="E1632" s="18" t="n">
        <v>47</v>
      </c>
    </row>
    <row r="1633" customFormat="false" ht="15" hidden="false" customHeight="true" outlineLevel="0" collapsed="false">
      <c r="A1633" s="18" t="s">
        <v>254</v>
      </c>
      <c r="B1633" s="18" t="s">
        <v>317</v>
      </c>
      <c r="C1633" s="18" t="n">
        <v>150</v>
      </c>
      <c r="D1633" s="30" t="n">
        <v>294.44</v>
      </c>
      <c r="E1633" s="18" t="n">
        <v>48</v>
      </c>
    </row>
    <row r="1634" customFormat="false" ht="15" hidden="false" customHeight="true" outlineLevel="0" collapsed="false">
      <c r="A1634" s="18" t="s">
        <v>254</v>
      </c>
      <c r="B1634" s="18" t="s">
        <v>318</v>
      </c>
      <c r="C1634" s="18" t="n">
        <v>130</v>
      </c>
      <c r="D1634" s="30" t="n">
        <v>253.31</v>
      </c>
      <c r="E1634" s="18" t="n">
        <v>49</v>
      </c>
    </row>
    <row r="1635" customFormat="false" ht="15" hidden="false" customHeight="true" outlineLevel="0" collapsed="false">
      <c r="A1635" s="18" t="s">
        <v>254</v>
      </c>
      <c r="B1635" s="18" t="s">
        <v>319</v>
      </c>
      <c r="C1635" s="18" t="n">
        <v>144</v>
      </c>
      <c r="D1635" s="30" t="n">
        <v>270.52</v>
      </c>
      <c r="E1635" s="18" t="n">
        <v>50</v>
      </c>
    </row>
    <row r="1636" customFormat="false" ht="15" hidden="false" customHeight="true" outlineLevel="0" collapsed="false">
      <c r="A1636" s="18" t="s">
        <v>254</v>
      </c>
      <c r="B1636" s="18" t="s">
        <v>320</v>
      </c>
      <c r="C1636" s="18" t="n">
        <v>161</v>
      </c>
      <c r="D1636" s="30" t="n">
        <v>315.4</v>
      </c>
      <c r="E1636" s="18" t="n">
        <v>51</v>
      </c>
    </row>
    <row r="1637" customFormat="false" ht="15" hidden="false" customHeight="true" outlineLevel="0" collapsed="false">
      <c r="A1637" s="18" t="s">
        <v>254</v>
      </c>
      <c r="B1637" s="18" t="s">
        <v>321</v>
      </c>
      <c r="C1637" s="18" t="n">
        <v>145</v>
      </c>
      <c r="D1637" s="30" t="n">
        <v>270.77</v>
      </c>
      <c r="E1637" s="18" t="n">
        <v>52</v>
      </c>
    </row>
    <row r="1638" customFormat="false" ht="15" hidden="false" customHeight="true" outlineLevel="0" collapsed="false">
      <c r="A1638" s="18" t="s">
        <v>258</v>
      </c>
      <c r="B1638" s="18" t="s">
        <v>270</v>
      </c>
      <c r="C1638" s="18" t="n">
        <v>81</v>
      </c>
      <c r="D1638" s="30" t="n">
        <v>233.19</v>
      </c>
      <c r="E1638" s="18" t="n">
        <v>1</v>
      </c>
    </row>
    <row r="1639" customFormat="false" ht="15" hidden="false" customHeight="true" outlineLevel="0" collapsed="false">
      <c r="A1639" s="18" t="s">
        <v>258</v>
      </c>
      <c r="B1639" s="18" t="s">
        <v>271</v>
      </c>
      <c r="C1639" s="18" t="n">
        <v>105</v>
      </c>
      <c r="D1639" s="30" t="n">
        <v>311.54</v>
      </c>
      <c r="E1639" s="18" t="n">
        <v>2</v>
      </c>
    </row>
    <row r="1640" customFormat="false" ht="15" hidden="false" customHeight="true" outlineLevel="0" collapsed="false">
      <c r="A1640" s="18" t="s">
        <v>258</v>
      </c>
      <c r="B1640" s="18" t="s">
        <v>272</v>
      </c>
      <c r="C1640" s="18" t="n">
        <v>83</v>
      </c>
      <c r="D1640" s="30" t="n">
        <v>248.1</v>
      </c>
      <c r="E1640" s="18" t="n">
        <v>3</v>
      </c>
    </row>
    <row r="1641" customFormat="false" ht="15" hidden="false" customHeight="true" outlineLevel="0" collapsed="false">
      <c r="A1641" s="18" t="s">
        <v>258</v>
      </c>
      <c r="B1641" s="18" t="s">
        <v>273</v>
      </c>
      <c r="C1641" s="18" t="n">
        <v>112</v>
      </c>
      <c r="D1641" s="30" t="n">
        <v>324.8</v>
      </c>
      <c r="E1641" s="18" t="n">
        <v>4</v>
      </c>
    </row>
    <row r="1642" customFormat="false" ht="15" hidden="false" customHeight="true" outlineLevel="0" collapsed="false">
      <c r="A1642" s="18" t="s">
        <v>258</v>
      </c>
      <c r="B1642" s="18" t="s">
        <v>274</v>
      </c>
      <c r="C1642" s="18" t="n">
        <v>97</v>
      </c>
      <c r="D1642" s="30" t="n">
        <v>280.16</v>
      </c>
      <c r="E1642" s="18" t="n">
        <v>5</v>
      </c>
    </row>
    <row r="1643" customFormat="false" ht="15" hidden="false" customHeight="true" outlineLevel="0" collapsed="false">
      <c r="A1643" s="18" t="s">
        <v>258</v>
      </c>
      <c r="B1643" s="18" t="s">
        <v>275</v>
      </c>
      <c r="C1643" s="18" t="n">
        <v>71</v>
      </c>
      <c r="D1643" s="30" t="n">
        <v>204.71</v>
      </c>
      <c r="E1643" s="18" t="n">
        <v>6</v>
      </c>
    </row>
    <row r="1644" customFormat="false" ht="15" hidden="false" customHeight="true" outlineLevel="0" collapsed="false">
      <c r="A1644" s="18" t="s">
        <v>258</v>
      </c>
      <c r="B1644" s="18" t="s">
        <v>276</v>
      </c>
      <c r="C1644" s="18" t="n">
        <v>109</v>
      </c>
      <c r="D1644" s="30" t="n">
        <v>313.87</v>
      </c>
      <c r="E1644" s="18" t="n">
        <v>7</v>
      </c>
    </row>
    <row r="1645" customFormat="false" ht="15" hidden="false" customHeight="true" outlineLevel="0" collapsed="false">
      <c r="A1645" s="18" t="s">
        <v>258</v>
      </c>
      <c r="B1645" s="18" t="s">
        <v>277</v>
      </c>
      <c r="C1645" s="18" t="n">
        <v>104</v>
      </c>
      <c r="D1645" s="30" t="n">
        <v>308.14</v>
      </c>
      <c r="E1645" s="18" t="n">
        <v>8</v>
      </c>
    </row>
    <row r="1646" customFormat="false" ht="15" hidden="false" customHeight="true" outlineLevel="0" collapsed="false">
      <c r="A1646" s="18" t="s">
        <v>258</v>
      </c>
      <c r="B1646" s="18" t="s">
        <v>278</v>
      </c>
      <c r="C1646" s="18" t="n">
        <v>115</v>
      </c>
      <c r="D1646" s="30" t="n">
        <v>344.15</v>
      </c>
      <c r="E1646" s="18" t="n">
        <v>9</v>
      </c>
    </row>
    <row r="1647" customFormat="false" ht="15" hidden="false" customHeight="true" outlineLevel="0" collapsed="false">
      <c r="A1647" s="18" t="s">
        <v>258</v>
      </c>
      <c r="B1647" s="18" t="s">
        <v>279</v>
      </c>
      <c r="C1647" s="18" t="n">
        <v>120</v>
      </c>
      <c r="D1647" s="30" t="n">
        <v>345.13</v>
      </c>
      <c r="E1647" s="18" t="n">
        <v>10</v>
      </c>
    </row>
    <row r="1648" customFormat="false" ht="15" hidden="false" customHeight="true" outlineLevel="0" collapsed="false">
      <c r="A1648" s="18" t="s">
        <v>258</v>
      </c>
      <c r="B1648" s="18" t="s">
        <v>280</v>
      </c>
      <c r="C1648" s="18" t="n">
        <v>131</v>
      </c>
      <c r="D1648" s="30" t="n">
        <v>375.01</v>
      </c>
      <c r="E1648" s="18" t="n">
        <v>11</v>
      </c>
    </row>
    <row r="1649" customFormat="false" ht="15" hidden="false" customHeight="true" outlineLevel="0" collapsed="false">
      <c r="A1649" s="18" t="s">
        <v>258</v>
      </c>
      <c r="B1649" s="18" t="s">
        <v>281</v>
      </c>
      <c r="C1649" s="18" t="n">
        <v>108</v>
      </c>
      <c r="D1649" s="30" t="n">
        <v>315.43</v>
      </c>
      <c r="E1649" s="18" t="n">
        <v>12</v>
      </c>
    </row>
    <row r="1650" customFormat="false" ht="15" hidden="false" customHeight="true" outlineLevel="0" collapsed="false">
      <c r="A1650" s="18" t="s">
        <v>258</v>
      </c>
      <c r="B1650" s="18" t="s">
        <v>282</v>
      </c>
      <c r="C1650" s="18" t="n">
        <v>95</v>
      </c>
      <c r="D1650" s="30" t="n">
        <v>275.61</v>
      </c>
      <c r="E1650" s="18" t="n">
        <v>13</v>
      </c>
    </row>
    <row r="1651" customFormat="false" ht="15" hidden="false" customHeight="true" outlineLevel="0" collapsed="false">
      <c r="A1651" s="18" t="s">
        <v>258</v>
      </c>
      <c r="B1651" s="18" t="s">
        <v>283</v>
      </c>
      <c r="C1651" s="18" t="n">
        <v>104</v>
      </c>
      <c r="D1651" s="30" t="n">
        <v>312.01</v>
      </c>
      <c r="E1651" s="18" t="n">
        <v>14</v>
      </c>
    </row>
    <row r="1652" customFormat="false" ht="15" hidden="false" customHeight="true" outlineLevel="0" collapsed="false">
      <c r="A1652" s="18" t="s">
        <v>258</v>
      </c>
      <c r="B1652" s="18" t="s">
        <v>284</v>
      </c>
      <c r="C1652" s="18" t="n">
        <v>74</v>
      </c>
      <c r="D1652" s="30" t="n">
        <v>219.23</v>
      </c>
      <c r="E1652" s="18" t="n">
        <v>15</v>
      </c>
    </row>
    <row r="1653" customFormat="false" ht="15" hidden="false" customHeight="true" outlineLevel="0" collapsed="false">
      <c r="A1653" s="18" t="s">
        <v>258</v>
      </c>
      <c r="B1653" s="18" t="s">
        <v>285</v>
      </c>
      <c r="C1653" s="18" t="n">
        <v>70</v>
      </c>
      <c r="D1653" s="30" t="n">
        <v>200.01</v>
      </c>
      <c r="E1653" s="18" t="n">
        <v>16</v>
      </c>
    </row>
    <row r="1654" customFormat="false" ht="15" hidden="false" customHeight="true" outlineLevel="0" collapsed="false">
      <c r="A1654" s="18" t="s">
        <v>258</v>
      </c>
      <c r="B1654" s="18" t="s">
        <v>286</v>
      </c>
      <c r="C1654" s="18" t="n">
        <v>116</v>
      </c>
      <c r="D1654" s="30" t="n">
        <v>341.96</v>
      </c>
      <c r="E1654" s="18" t="n">
        <v>17</v>
      </c>
    </row>
    <row r="1655" customFormat="false" ht="15" hidden="false" customHeight="true" outlineLevel="0" collapsed="false">
      <c r="A1655" s="18" t="s">
        <v>258</v>
      </c>
      <c r="B1655" s="18" t="s">
        <v>287</v>
      </c>
      <c r="C1655" s="18" t="n">
        <v>66</v>
      </c>
      <c r="D1655" s="30" t="n">
        <v>192.04</v>
      </c>
      <c r="E1655" s="18" t="n">
        <v>18</v>
      </c>
    </row>
    <row r="1656" customFormat="false" ht="15" hidden="false" customHeight="true" outlineLevel="0" collapsed="false">
      <c r="A1656" s="18" t="s">
        <v>258</v>
      </c>
      <c r="B1656" s="18" t="s">
        <v>288</v>
      </c>
      <c r="C1656" s="18" t="n">
        <v>59</v>
      </c>
      <c r="D1656" s="30" t="n">
        <v>174.75</v>
      </c>
      <c r="E1656" s="18" t="n">
        <v>19</v>
      </c>
    </row>
    <row r="1657" customFormat="false" ht="15" hidden="false" customHeight="true" outlineLevel="0" collapsed="false">
      <c r="A1657" s="18" t="s">
        <v>258</v>
      </c>
      <c r="B1657" s="18" t="s">
        <v>289</v>
      </c>
      <c r="C1657" s="18" t="n">
        <v>90</v>
      </c>
      <c r="D1657" s="30" t="n">
        <v>266.52</v>
      </c>
      <c r="E1657" s="18" t="n">
        <v>20</v>
      </c>
    </row>
    <row r="1658" customFormat="false" ht="15" hidden="false" customHeight="true" outlineLevel="0" collapsed="false">
      <c r="A1658" s="18" t="s">
        <v>258</v>
      </c>
      <c r="B1658" s="18" t="s">
        <v>290</v>
      </c>
      <c r="C1658" s="18" t="n">
        <v>67</v>
      </c>
      <c r="D1658" s="30" t="n">
        <v>196.63</v>
      </c>
      <c r="E1658" s="18" t="n">
        <v>21</v>
      </c>
    </row>
    <row r="1659" customFormat="false" ht="15" hidden="false" customHeight="true" outlineLevel="0" collapsed="false">
      <c r="A1659" s="18" t="s">
        <v>258</v>
      </c>
      <c r="B1659" s="18" t="s">
        <v>291</v>
      </c>
      <c r="C1659" s="18" t="n">
        <v>97</v>
      </c>
      <c r="D1659" s="30" t="n">
        <v>284.15</v>
      </c>
      <c r="E1659" s="18" t="n">
        <v>22</v>
      </c>
    </row>
    <row r="1660" customFormat="false" ht="15" hidden="false" customHeight="true" outlineLevel="0" collapsed="false">
      <c r="A1660" s="18" t="s">
        <v>258</v>
      </c>
      <c r="B1660" s="18" t="s">
        <v>292</v>
      </c>
      <c r="C1660" s="18" t="n">
        <v>107</v>
      </c>
      <c r="D1660" s="30" t="n">
        <v>305.9</v>
      </c>
      <c r="E1660" s="18" t="n">
        <v>23</v>
      </c>
    </row>
    <row r="1661" customFormat="false" ht="15" hidden="false" customHeight="true" outlineLevel="0" collapsed="false">
      <c r="A1661" s="18" t="s">
        <v>258</v>
      </c>
      <c r="B1661" s="18" t="s">
        <v>293</v>
      </c>
      <c r="C1661" s="18" t="n">
        <v>64</v>
      </c>
      <c r="D1661" s="30" t="n">
        <v>185.71</v>
      </c>
      <c r="E1661" s="18" t="n">
        <v>24</v>
      </c>
    </row>
    <row r="1662" customFormat="false" ht="15" hidden="false" customHeight="true" outlineLevel="0" collapsed="false">
      <c r="A1662" s="18" t="s">
        <v>258</v>
      </c>
      <c r="B1662" s="18" t="s">
        <v>294</v>
      </c>
      <c r="C1662" s="18" t="n">
        <v>99</v>
      </c>
      <c r="D1662" s="30" t="n">
        <v>293.55</v>
      </c>
      <c r="E1662" s="18" t="n">
        <v>25</v>
      </c>
    </row>
    <row r="1663" customFormat="false" ht="15" hidden="false" customHeight="true" outlineLevel="0" collapsed="false">
      <c r="A1663" s="18" t="s">
        <v>258</v>
      </c>
      <c r="B1663" s="18" t="s">
        <v>295</v>
      </c>
      <c r="C1663" s="18" t="n">
        <v>70</v>
      </c>
      <c r="D1663" s="30" t="n">
        <v>207.14</v>
      </c>
      <c r="E1663" s="18" t="n">
        <v>26</v>
      </c>
    </row>
    <row r="1664" customFormat="false" ht="15" hidden="false" customHeight="true" outlineLevel="0" collapsed="false">
      <c r="A1664" s="18" t="s">
        <v>258</v>
      </c>
      <c r="B1664" s="18" t="s">
        <v>296</v>
      </c>
      <c r="C1664" s="18" t="n">
        <v>81</v>
      </c>
      <c r="D1664" s="30" t="n">
        <v>241.46</v>
      </c>
      <c r="E1664" s="18" t="n">
        <v>27</v>
      </c>
    </row>
    <row r="1665" customFormat="false" ht="15" hidden="false" customHeight="true" outlineLevel="0" collapsed="false">
      <c r="A1665" s="18" t="s">
        <v>258</v>
      </c>
      <c r="B1665" s="18" t="s">
        <v>297</v>
      </c>
      <c r="C1665" s="18" t="n">
        <v>97</v>
      </c>
      <c r="D1665" s="30" t="n">
        <v>280.67</v>
      </c>
      <c r="E1665" s="18" t="n">
        <v>28</v>
      </c>
    </row>
    <row r="1666" customFormat="false" ht="15" hidden="false" customHeight="true" outlineLevel="0" collapsed="false">
      <c r="A1666" s="18" t="s">
        <v>258</v>
      </c>
      <c r="B1666" s="18" t="s">
        <v>298</v>
      </c>
      <c r="C1666" s="18" t="n">
        <v>77</v>
      </c>
      <c r="D1666" s="30" t="n">
        <v>225.35</v>
      </c>
      <c r="E1666" s="18" t="n">
        <v>29</v>
      </c>
    </row>
    <row r="1667" customFormat="false" ht="15" hidden="false" customHeight="true" outlineLevel="0" collapsed="false">
      <c r="A1667" s="18" t="s">
        <v>258</v>
      </c>
      <c r="B1667" s="18" t="s">
        <v>299</v>
      </c>
      <c r="C1667" s="18" t="n">
        <v>99</v>
      </c>
      <c r="D1667" s="30" t="n">
        <v>288.73</v>
      </c>
      <c r="E1667" s="18" t="n">
        <v>30</v>
      </c>
    </row>
    <row r="1668" customFormat="false" ht="15" hidden="false" customHeight="true" outlineLevel="0" collapsed="false">
      <c r="A1668" s="18" t="s">
        <v>258</v>
      </c>
      <c r="B1668" s="18" t="s">
        <v>300</v>
      </c>
      <c r="C1668" s="18" t="n">
        <v>91</v>
      </c>
      <c r="D1668" s="30" t="n">
        <v>269.21</v>
      </c>
      <c r="E1668" s="18" t="n">
        <v>31</v>
      </c>
    </row>
    <row r="1669" customFormat="false" ht="15" hidden="false" customHeight="true" outlineLevel="0" collapsed="false">
      <c r="A1669" s="18" t="s">
        <v>258</v>
      </c>
      <c r="B1669" s="18" t="s">
        <v>301</v>
      </c>
      <c r="C1669" s="18" t="n">
        <v>120</v>
      </c>
      <c r="D1669" s="30" t="n">
        <v>359.24</v>
      </c>
      <c r="E1669" s="18" t="n">
        <v>32</v>
      </c>
    </row>
    <row r="1670" customFormat="false" ht="15" hidden="false" customHeight="true" outlineLevel="0" collapsed="false">
      <c r="A1670" s="18" t="s">
        <v>258</v>
      </c>
      <c r="B1670" s="18" t="s">
        <v>302</v>
      </c>
      <c r="C1670" s="18" t="n">
        <v>120</v>
      </c>
      <c r="D1670" s="30" t="n">
        <v>357.17</v>
      </c>
      <c r="E1670" s="18" t="n">
        <v>33</v>
      </c>
    </row>
    <row r="1671" customFormat="false" ht="15" hidden="false" customHeight="true" outlineLevel="0" collapsed="false">
      <c r="A1671" s="18" t="s">
        <v>258</v>
      </c>
      <c r="B1671" s="18" t="s">
        <v>303</v>
      </c>
      <c r="C1671" s="18" t="n">
        <v>82</v>
      </c>
      <c r="D1671" s="30" t="n">
        <v>240.65</v>
      </c>
      <c r="E1671" s="18" t="n">
        <v>34</v>
      </c>
    </row>
    <row r="1672" customFormat="false" ht="15" hidden="false" customHeight="true" outlineLevel="0" collapsed="false">
      <c r="A1672" s="18" t="s">
        <v>258</v>
      </c>
      <c r="B1672" s="18" t="s">
        <v>304</v>
      </c>
      <c r="C1672" s="18" t="n">
        <v>105</v>
      </c>
      <c r="D1672" s="30" t="n">
        <v>311.96</v>
      </c>
      <c r="E1672" s="18" t="n">
        <v>35</v>
      </c>
    </row>
    <row r="1673" customFormat="false" ht="15" hidden="false" customHeight="true" outlineLevel="0" collapsed="false">
      <c r="A1673" s="18" t="s">
        <v>258</v>
      </c>
      <c r="B1673" s="18" t="s">
        <v>305</v>
      </c>
      <c r="C1673" s="18" t="n">
        <v>122</v>
      </c>
      <c r="D1673" s="30" t="n">
        <v>368.35</v>
      </c>
      <c r="E1673" s="18" t="n">
        <v>36</v>
      </c>
    </row>
    <row r="1674" customFormat="false" ht="15" hidden="false" customHeight="true" outlineLevel="0" collapsed="false">
      <c r="A1674" s="18" t="s">
        <v>258</v>
      </c>
      <c r="B1674" s="18" t="s">
        <v>306</v>
      </c>
      <c r="C1674" s="18" t="n">
        <v>66</v>
      </c>
      <c r="D1674" s="30" t="n">
        <v>194.78</v>
      </c>
      <c r="E1674" s="18" t="n">
        <v>37</v>
      </c>
    </row>
    <row r="1675" customFormat="false" ht="15" hidden="false" customHeight="true" outlineLevel="0" collapsed="false">
      <c r="A1675" s="18" t="s">
        <v>258</v>
      </c>
      <c r="B1675" s="18" t="s">
        <v>307</v>
      </c>
      <c r="C1675" s="18" t="n">
        <v>87</v>
      </c>
      <c r="D1675" s="30" t="n">
        <v>257.62</v>
      </c>
      <c r="E1675" s="18" t="n">
        <v>38</v>
      </c>
    </row>
    <row r="1676" customFormat="false" ht="15" hidden="false" customHeight="true" outlineLevel="0" collapsed="false">
      <c r="A1676" s="18" t="s">
        <v>258</v>
      </c>
      <c r="B1676" s="18" t="s">
        <v>308</v>
      </c>
      <c r="C1676" s="18" t="n">
        <v>96</v>
      </c>
      <c r="D1676" s="30" t="n">
        <v>280.05</v>
      </c>
      <c r="E1676" s="18" t="n">
        <v>39</v>
      </c>
    </row>
    <row r="1677" customFormat="false" ht="15" hidden="false" customHeight="true" outlineLevel="0" collapsed="false">
      <c r="A1677" s="18" t="s">
        <v>258</v>
      </c>
      <c r="B1677" s="18" t="s">
        <v>309</v>
      </c>
      <c r="C1677" s="18" t="n">
        <v>60</v>
      </c>
      <c r="D1677" s="30" t="n">
        <v>172.29</v>
      </c>
      <c r="E1677" s="18" t="n">
        <v>40</v>
      </c>
    </row>
    <row r="1678" customFormat="false" ht="15" hidden="false" customHeight="true" outlineLevel="0" collapsed="false">
      <c r="A1678" s="18" t="s">
        <v>258</v>
      </c>
      <c r="B1678" s="18" t="s">
        <v>310</v>
      </c>
      <c r="C1678" s="18" t="n">
        <v>126</v>
      </c>
      <c r="D1678" s="30" t="n">
        <v>381.53</v>
      </c>
      <c r="E1678" s="18" t="n">
        <v>41</v>
      </c>
    </row>
    <row r="1679" customFormat="false" ht="15" hidden="false" customHeight="true" outlineLevel="0" collapsed="false">
      <c r="A1679" s="18" t="s">
        <v>258</v>
      </c>
      <c r="B1679" s="18" t="s">
        <v>311</v>
      </c>
      <c r="C1679" s="18" t="n">
        <v>71</v>
      </c>
      <c r="D1679" s="30" t="n">
        <v>202.5</v>
      </c>
      <c r="E1679" s="18" t="n">
        <v>42</v>
      </c>
    </row>
    <row r="1680" customFormat="false" ht="15" hidden="false" customHeight="true" outlineLevel="0" collapsed="false">
      <c r="A1680" s="18" t="s">
        <v>258</v>
      </c>
      <c r="B1680" s="18" t="s">
        <v>312</v>
      </c>
      <c r="C1680" s="18" t="n">
        <v>119</v>
      </c>
      <c r="D1680" s="30" t="n">
        <v>339.78</v>
      </c>
      <c r="E1680" s="18" t="n">
        <v>43</v>
      </c>
    </row>
    <row r="1681" customFormat="false" ht="15" hidden="false" customHeight="true" outlineLevel="0" collapsed="false">
      <c r="A1681" s="18" t="s">
        <v>258</v>
      </c>
      <c r="B1681" s="18" t="s">
        <v>313</v>
      </c>
      <c r="C1681" s="18" t="n">
        <v>65</v>
      </c>
      <c r="D1681" s="30" t="n">
        <v>193.59</v>
      </c>
      <c r="E1681" s="18" t="n">
        <v>44</v>
      </c>
    </row>
    <row r="1682" customFormat="false" ht="15" hidden="false" customHeight="true" outlineLevel="0" collapsed="false">
      <c r="A1682" s="18" t="s">
        <v>258</v>
      </c>
      <c r="B1682" s="18" t="s">
        <v>314</v>
      </c>
      <c r="C1682" s="18" t="n">
        <v>66</v>
      </c>
      <c r="D1682" s="30" t="n">
        <v>196.52</v>
      </c>
      <c r="E1682" s="18" t="n">
        <v>45</v>
      </c>
    </row>
    <row r="1683" customFormat="false" ht="15" hidden="false" customHeight="true" outlineLevel="0" collapsed="false">
      <c r="A1683" s="18" t="s">
        <v>258</v>
      </c>
      <c r="B1683" s="18" t="s">
        <v>315</v>
      </c>
      <c r="C1683" s="18" t="n">
        <v>41</v>
      </c>
      <c r="D1683" s="30" t="n">
        <v>123.97</v>
      </c>
      <c r="E1683" s="18" t="n">
        <v>46</v>
      </c>
    </row>
    <row r="1684" customFormat="false" ht="15" hidden="false" customHeight="true" outlineLevel="0" collapsed="false">
      <c r="A1684" s="18" t="s">
        <v>258</v>
      </c>
      <c r="B1684" s="18" t="s">
        <v>316</v>
      </c>
      <c r="C1684" s="18" t="n">
        <v>88</v>
      </c>
      <c r="D1684" s="30" t="n">
        <v>266.28</v>
      </c>
      <c r="E1684" s="18" t="n">
        <v>47</v>
      </c>
    </row>
    <row r="1685" customFormat="false" ht="15" hidden="false" customHeight="true" outlineLevel="0" collapsed="false">
      <c r="A1685" s="18" t="s">
        <v>258</v>
      </c>
      <c r="B1685" s="18" t="s">
        <v>317</v>
      </c>
      <c r="C1685" s="18" t="n">
        <v>51</v>
      </c>
      <c r="D1685" s="30" t="n">
        <v>153.8</v>
      </c>
      <c r="E1685" s="18" t="n">
        <v>48</v>
      </c>
    </row>
    <row r="1686" customFormat="false" ht="15" hidden="false" customHeight="true" outlineLevel="0" collapsed="false">
      <c r="A1686" s="18" t="s">
        <v>258</v>
      </c>
      <c r="B1686" s="18" t="s">
        <v>318</v>
      </c>
      <c r="C1686" s="18" t="n">
        <v>74</v>
      </c>
      <c r="D1686" s="30" t="n">
        <v>212.89</v>
      </c>
      <c r="E1686" s="18" t="n">
        <v>49</v>
      </c>
    </row>
    <row r="1687" customFormat="false" ht="15" hidden="false" customHeight="true" outlineLevel="0" collapsed="false">
      <c r="A1687" s="18" t="s">
        <v>258</v>
      </c>
      <c r="B1687" s="18" t="s">
        <v>319</v>
      </c>
      <c r="C1687" s="18" t="n">
        <v>60</v>
      </c>
      <c r="D1687" s="30" t="n">
        <v>176.57</v>
      </c>
      <c r="E1687" s="18" t="n">
        <v>50</v>
      </c>
    </row>
    <row r="1688" customFormat="false" ht="15" hidden="false" customHeight="true" outlineLevel="0" collapsed="false">
      <c r="A1688" s="18" t="s">
        <v>258</v>
      </c>
      <c r="B1688" s="18" t="s">
        <v>320</v>
      </c>
      <c r="C1688" s="18" t="n">
        <v>86</v>
      </c>
      <c r="D1688" s="30" t="n">
        <v>259.28</v>
      </c>
      <c r="E1688" s="18" t="n">
        <v>51</v>
      </c>
    </row>
    <row r="1689" customFormat="false" ht="15" hidden="false" customHeight="true" outlineLevel="0" collapsed="false">
      <c r="A1689" s="18" t="s">
        <v>258</v>
      </c>
      <c r="B1689" s="18" t="s">
        <v>321</v>
      </c>
      <c r="C1689" s="18" t="n">
        <v>17</v>
      </c>
      <c r="D1689" s="30" t="n">
        <v>49.41</v>
      </c>
      <c r="E1689" s="18" t="n">
        <v>52</v>
      </c>
    </row>
    <row r="1690" customFormat="false" ht="15" hidden="false" customHeight="true" outlineLevel="0" collapsed="false">
      <c r="A1690" s="18" t="s">
        <v>260</v>
      </c>
      <c r="B1690" s="18" t="s">
        <v>309</v>
      </c>
      <c r="C1690" s="18" t="n">
        <v>90</v>
      </c>
      <c r="D1690" s="30" t="n">
        <v>153.06</v>
      </c>
      <c r="E1690" s="18" t="n">
        <v>1</v>
      </c>
    </row>
    <row r="1691" customFormat="false" ht="15" hidden="false" customHeight="true" outlineLevel="0" collapsed="false">
      <c r="A1691" s="18" t="s">
        <v>260</v>
      </c>
      <c r="B1691" s="18" t="s">
        <v>310</v>
      </c>
      <c r="C1691" s="18" t="n">
        <v>88</v>
      </c>
      <c r="D1691" s="30" t="n">
        <v>146.73</v>
      </c>
      <c r="E1691" s="18" t="n">
        <v>2</v>
      </c>
    </row>
    <row r="1692" customFormat="false" ht="15" hidden="false" customHeight="true" outlineLevel="0" collapsed="false">
      <c r="A1692" s="18" t="s">
        <v>260</v>
      </c>
      <c r="B1692" s="18" t="s">
        <v>311</v>
      </c>
      <c r="C1692" s="18" t="n">
        <v>85</v>
      </c>
      <c r="D1692" s="30" t="n">
        <v>145.48</v>
      </c>
      <c r="E1692" s="18" t="n">
        <v>3</v>
      </c>
    </row>
    <row r="1693" customFormat="false" ht="15" hidden="false" customHeight="true" outlineLevel="0" collapsed="false">
      <c r="A1693" s="18" t="s">
        <v>260</v>
      </c>
      <c r="B1693" s="18" t="s">
        <v>312</v>
      </c>
      <c r="C1693" s="18" t="n">
        <v>87</v>
      </c>
      <c r="D1693" s="30" t="n">
        <v>146.57</v>
      </c>
      <c r="E1693" s="18" t="n">
        <v>4</v>
      </c>
    </row>
    <row r="1694" customFormat="false" ht="15" hidden="false" customHeight="true" outlineLevel="0" collapsed="false">
      <c r="A1694" s="18" t="s">
        <v>260</v>
      </c>
      <c r="B1694" s="18" t="s">
        <v>313</v>
      </c>
      <c r="C1694" s="18" t="n">
        <v>103</v>
      </c>
      <c r="D1694" s="30" t="n">
        <v>173.16</v>
      </c>
      <c r="E1694" s="18" t="n">
        <v>5</v>
      </c>
    </row>
    <row r="1695" customFormat="false" ht="15" hidden="false" customHeight="true" outlineLevel="0" collapsed="false">
      <c r="A1695" s="18" t="s">
        <v>260</v>
      </c>
      <c r="B1695" s="18" t="s">
        <v>314</v>
      </c>
      <c r="C1695" s="18" t="n">
        <v>96</v>
      </c>
      <c r="D1695" s="30" t="n">
        <v>164.82</v>
      </c>
      <c r="E1695" s="18" t="n">
        <v>6</v>
      </c>
    </row>
    <row r="1696" customFormat="false" ht="15" hidden="false" customHeight="true" outlineLevel="0" collapsed="false">
      <c r="A1696" s="18" t="s">
        <v>260</v>
      </c>
      <c r="B1696" s="18" t="s">
        <v>315</v>
      </c>
      <c r="C1696" s="18" t="n">
        <v>85</v>
      </c>
      <c r="D1696" s="30" t="n">
        <v>141.91</v>
      </c>
      <c r="E1696" s="18" t="n">
        <v>7</v>
      </c>
    </row>
    <row r="1697" customFormat="false" ht="15" hidden="false" customHeight="true" outlineLevel="0" collapsed="false">
      <c r="A1697" s="18" t="s">
        <v>260</v>
      </c>
      <c r="B1697" s="18" t="s">
        <v>316</v>
      </c>
      <c r="C1697" s="18" t="n">
        <v>82</v>
      </c>
      <c r="D1697" s="30" t="n">
        <v>137.91</v>
      </c>
      <c r="E1697" s="18" t="n">
        <v>8</v>
      </c>
    </row>
    <row r="1698" customFormat="false" ht="15" hidden="false" customHeight="true" outlineLevel="0" collapsed="false">
      <c r="A1698" s="18" t="s">
        <v>260</v>
      </c>
      <c r="B1698" s="18" t="s">
        <v>317</v>
      </c>
      <c r="C1698" s="18" t="n">
        <v>94</v>
      </c>
      <c r="D1698" s="30" t="n">
        <v>159.44</v>
      </c>
      <c r="E1698" s="18" t="n">
        <v>9</v>
      </c>
    </row>
    <row r="1699" customFormat="false" ht="15" hidden="false" customHeight="true" outlineLevel="0" collapsed="false">
      <c r="A1699" s="18" t="s">
        <v>260</v>
      </c>
      <c r="B1699" s="18" t="s">
        <v>318</v>
      </c>
      <c r="C1699" s="18" t="n">
        <v>89</v>
      </c>
      <c r="D1699" s="30" t="n">
        <v>146.99</v>
      </c>
      <c r="E1699" s="18" t="n">
        <v>10</v>
      </c>
    </row>
    <row r="1700" customFormat="false" ht="15" hidden="false" customHeight="true" outlineLevel="0" collapsed="false">
      <c r="A1700" s="18" t="s">
        <v>260</v>
      </c>
      <c r="B1700" s="18" t="s">
        <v>319</v>
      </c>
      <c r="C1700" s="18" t="n">
        <v>77</v>
      </c>
      <c r="D1700" s="30" t="n">
        <v>128.16</v>
      </c>
      <c r="E1700" s="18" t="n">
        <v>11</v>
      </c>
    </row>
    <row r="1701" customFormat="false" ht="15" hidden="false" customHeight="true" outlineLevel="0" collapsed="false">
      <c r="A1701" s="18" t="s">
        <v>260</v>
      </c>
      <c r="B1701" s="18" t="s">
        <v>320</v>
      </c>
      <c r="C1701" s="18" t="n">
        <v>87</v>
      </c>
      <c r="D1701" s="30" t="n">
        <v>143.59</v>
      </c>
      <c r="E1701" s="18" t="n">
        <v>12</v>
      </c>
    </row>
    <row r="1702" customFormat="false" ht="15" hidden="false" customHeight="true" outlineLevel="0" collapsed="false">
      <c r="A1702" s="18" t="s">
        <v>260</v>
      </c>
      <c r="B1702" s="18" t="s">
        <v>321</v>
      </c>
      <c r="C1702" s="18" t="n">
        <v>106</v>
      </c>
      <c r="D1702" s="30" t="n">
        <v>178.47</v>
      </c>
      <c r="E1702" s="18" t="n">
        <v>13</v>
      </c>
    </row>
    <row r="1703" customFormat="false" ht="15" hidden="false" customHeight="true" outlineLevel="0" collapsed="false">
      <c r="A1703" s="18" t="s">
        <v>262</v>
      </c>
      <c r="B1703" s="18" t="s">
        <v>270</v>
      </c>
      <c r="C1703" s="18" t="n">
        <v>154</v>
      </c>
      <c r="D1703" s="30" t="n">
        <v>177.21</v>
      </c>
      <c r="E1703" s="18" t="n">
        <v>1</v>
      </c>
    </row>
    <row r="1704" customFormat="false" ht="15" hidden="false" customHeight="true" outlineLevel="0" collapsed="false">
      <c r="A1704" s="18" t="s">
        <v>262</v>
      </c>
      <c r="B1704" s="18" t="s">
        <v>271</v>
      </c>
      <c r="C1704" s="18" t="n">
        <v>200</v>
      </c>
      <c r="D1704" s="30" t="n">
        <v>229.96</v>
      </c>
      <c r="E1704" s="18" t="n">
        <v>2</v>
      </c>
    </row>
    <row r="1705" customFormat="false" ht="15" hidden="false" customHeight="true" outlineLevel="0" collapsed="false">
      <c r="A1705" s="18" t="s">
        <v>262</v>
      </c>
      <c r="B1705" s="18" t="s">
        <v>272</v>
      </c>
      <c r="C1705" s="18" t="n">
        <v>203</v>
      </c>
      <c r="D1705" s="30" t="n">
        <v>231.25</v>
      </c>
      <c r="E1705" s="18" t="n">
        <v>3</v>
      </c>
    </row>
    <row r="1706" customFormat="false" ht="15" hidden="false" customHeight="true" outlineLevel="0" collapsed="false">
      <c r="A1706" s="18" t="s">
        <v>262</v>
      </c>
      <c r="B1706" s="18" t="s">
        <v>273</v>
      </c>
      <c r="C1706" s="18" t="n">
        <v>205</v>
      </c>
      <c r="D1706" s="30" t="n">
        <v>235.72</v>
      </c>
      <c r="E1706" s="18" t="n">
        <v>4</v>
      </c>
    </row>
    <row r="1707" customFormat="false" ht="15" hidden="false" customHeight="true" outlineLevel="0" collapsed="false">
      <c r="A1707" s="18" t="s">
        <v>262</v>
      </c>
      <c r="B1707" s="18" t="s">
        <v>274</v>
      </c>
      <c r="C1707" s="18" t="n">
        <v>236</v>
      </c>
      <c r="D1707" s="30" t="n">
        <v>264.45</v>
      </c>
      <c r="E1707" s="18" t="n">
        <v>5</v>
      </c>
    </row>
    <row r="1708" customFormat="false" ht="15" hidden="false" customHeight="true" outlineLevel="0" collapsed="false">
      <c r="A1708" s="18" t="s">
        <v>262</v>
      </c>
      <c r="B1708" s="18" t="s">
        <v>275</v>
      </c>
      <c r="C1708" s="18" t="n">
        <v>234</v>
      </c>
      <c r="D1708" s="30" t="n">
        <v>264.11</v>
      </c>
      <c r="E1708" s="18" t="n">
        <v>6</v>
      </c>
    </row>
    <row r="1709" customFormat="false" ht="15" hidden="false" customHeight="true" outlineLevel="0" collapsed="false">
      <c r="A1709" s="18" t="s">
        <v>262</v>
      </c>
      <c r="B1709" s="18" t="s">
        <v>276</v>
      </c>
      <c r="C1709" s="18" t="n">
        <v>185</v>
      </c>
      <c r="D1709" s="30" t="n">
        <v>208.64</v>
      </c>
      <c r="E1709" s="18" t="n">
        <v>7</v>
      </c>
    </row>
    <row r="1710" customFormat="false" ht="15" hidden="false" customHeight="true" outlineLevel="0" collapsed="false">
      <c r="A1710" s="18" t="s">
        <v>262</v>
      </c>
      <c r="B1710" s="18" t="s">
        <v>277</v>
      </c>
      <c r="C1710" s="18" t="n">
        <v>225</v>
      </c>
      <c r="D1710" s="30" t="n">
        <v>254.24</v>
      </c>
      <c r="E1710" s="18" t="n">
        <v>8</v>
      </c>
    </row>
    <row r="1711" customFormat="false" ht="15" hidden="false" customHeight="true" outlineLevel="0" collapsed="false">
      <c r="A1711" s="18" t="s">
        <v>262</v>
      </c>
      <c r="B1711" s="18" t="s">
        <v>278</v>
      </c>
      <c r="C1711" s="18" t="n">
        <v>191</v>
      </c>
      <c r="D1711" s="30" t="n">
        <v>224.6</v>
      </c>
      <c r="E1711" s="18" t="n">
        <v>9</v>
      </c>
    </row>
    <row r="1712" customFormat="false" ht="15" hidden="false" customHeight="true" outlineLevel="0" collapsed="false">
      <c r="A1712" s="18" t="s">
        <v>262</v>
      </c>
      <c r="B1712" s="18" t="s">
        <v>279</v>
      </c>
      <c r="C1712" s="18" t="n">
        <v>209</v>
      </c>
      <c r="D1712" s="30" t="n">
        <v>239.27</v>
      </c>
      <c r="E1712" s="18" t="n">
        <v>10</v>
      </c>
    </row>
    <row r="1713" customFormat="false" ht="15" hidden="false" customHeight="true" outlineLevel="0" collapsed="false">
      <c r="A1713" s="18" t="s">
        <v>262</v>
      </c>
      <c r="B1713" s="18" t="s">
        <v>280</v>
      </c>
      <c r="C1713" s="18" t="n">
        <v>185</v>
      </c>
      <c r="D1713" s="30" t="n">
        <v>218.42</v>
      </c>
      <c r="E1713" s="18" t="n">
        <v>11</v>
      </c>
    </row>
    <row r="1714" customFormat="false" ht="15" hidden="false" customHeight="true" outlineLevel="0" collapsed="false">
      <c r="A1714" s="18" t="s">
        <v>262</v>
      </c>
      <c r="B1714" s="18" t="s">
        <v>281</v>
      </c>
      <c r="C1714" s="18" t="n">
        <v>181</v>
      </c>
      <c r="D1714" s="30" t="n">
        <v>202.77</v>
      </c>
      <c r="E1714" s="18" t="n">
        <v>12</v>
      </c>
    </row>
    <row r="1715" customFormat="false" ht="15" hidden="false" customHeight="true" outlineLevel="0" collapsed="false">
      <c r="A1715" s="18" t="s">
        <v>262</v>
      </c>
      <c r="B1715" s="18" t="s">
        <v>282</v>
      </c>
      <c r="C1715" s="18" t="n">
        <v>163</v>
      </c>
      <c r="D1715" s="30" t="n">
        <v>192.95</v>
      </c>
      <c r="E1715" s="18" t="n">
        <v>13</v>
      </c>
    </row>
    <row r="1716" customFormat="false" ht="15" hidden="false" customHeight="true" outlineLevel="0" collapsed="false">
      <c r="A1716" s="18" t="s">
        <v>262</v>
      </c>
      <c r="B1716" s="18" t="s">
        <v>283</v>
      </c>
      <c r="C1716" s="18" t="n">
        <v>209</v>
      </c>
      <c r="D1716" s="30" t="n">
        <v>234.67</v>
      </c>
      <c r="E1716" s="18" t="n">
        <v>14</v>
      </c>
    </row>
    <row r="1717" customFormat="false" ht="15" hidden="false" customHeight="true" outlineLevel="0" collapsed="false">
      <c r="A1717" s="18" t="s">
        <v>262</v>
      </c>
      <c r="B1717" s="18" t="s">
        <v>284</v>
      </c>
      <c r="C1717" s="18" t="n">
        <v>200</v>
      </c>
      <c r="D1717" s="30" t="n">
        <v>227.45</v>
      </c>
      <c r="E1717" s="18" t="n">
        <v>15</v>
      </c>
    </row>
    <row r="1718" customFormat="false" ht="15" hidden="false" customHeight="true" outlineLevel="0" collapsed="false">
      <c r="A1718" s="18" t="s">
        <v>262</v>
      </c>
      <c r="B1718" s="18" t="s">
        <v>285</v>
      </c>
      <c r="C1718" s="18" t="n">
        <v>187</v>
      </c>
      <c r="D1718" s="30" t="n">
        <v>217.56</v>
      </c>
      <c r="E1718" s="18" t="n">
        <v>16</v>
      </c>
    </row>
    <row r="1719" customFormat="false" ht="15" hidden="false" customHeight="true" outlineLevel="0" collapsed="false">
      <c r="A1719" s="18" t="s">
        <v>262</v>
      </c>
      <c r="B1719" s="18" t="s">
        <v>286</v>
      </c>
      <c r="C1719" s="18" t="n">
        <v>171</v>
      </c>
      <c r="D1719" s="30" t="n">
        <v>194.82</v>
      </c>
      <c r="E1719" s="18" t="n">
        <v>17</v>
      </c>
    </row>
    <row r="1720" customFormat="false" ht="15" hidden="false" customHeight="true" outlineLevel="0" collapsed="false">
      <c r="A1720" s="18" t="s">
        <v>262</v>
      </c>
      <c r="B1720" s="18" t="s">
        <v>287</v>
      </c>
      <c r="C1720" s="18" t="n">
        <v>150</v>
      </c>
      <c r="D1720" s="30" t="n">
        <v>172.48</v>
      </c>
      <c r="E1720" s="18" t="n">
        <v>18</v>
      </c>
    </row>
    <row r="1721" customFormat="false" ht="15" hidden="false" customHeight="true" outlineLevel="0" collapsed="false">
      <c r="A1721" s="18" t="s">
        <v>262</v>
      </c>
      <c r="B1721" s="18" t="s">
        <v>288</v>
      </c>
      <c r="C1721" s="18" t="n">
        <v>166</v>
      </c>
      <c r="D1721" s="30" t="n">
        <v>190.12</v>
      </c>
      <c r="E1721" s="18" t="n">
        <v>19</v>
      </c>
    </row>
    <row r="1722" customFormat="false" ht="15" hidden="false" customHeight="true" outlineLevel="0" collapsed="false">
      <c r="A1722" s="18" t="s">
        <v>262</v>
      </c>
      <c r="B1722" s="18" t="s">
        <v>289</v>
      </c>
      <c r="C1722" s="18" t="n">
        <v>181</v>
      </c>
      <c r="D1722" s="30" t="n">
        <v>213.82</v>
      </c>
      <c r="E1722" s="18" t="n">
        <v>20</v>
      </c>
    </row>
    <row r="1723" customFormat="false" ht="15" hidden="false" customHeight="true" outlineLevel="0" collapsed="false">
      <c r="A1723" s="18" t="s">
        <v>262</v>
      </c>
      <c r="B1723" s="18" t="s">
        <v>290</v>
      </c>
      <c r="C1723" s="18" t="n">
        <v>181</v>
      </c>
      <c r="D1723" s="30" t="n">
        <v>208.42</v>
      </c>
      <c r="E1723" s="18" t="n">
        <v>21</v>
      </c>
    </row>
    <row r="1724" customFormat="false" ht="15" hidden="false" customHeight="true" outlineLevel="0" collapsed="false">
      <c r="A1724" s="18" t="s">
        <v>262</v>
      </c>
      <c r="B1724" s="18" t="s">
        <v>291</v>
      </c>
      <c r="C1724" s="18" t="n">
        <v>208</v>
      </c>
      <c r="D1724" s="30" t="n">
        <v>233.12</v>
      </c>
      <c r="E1724" s="18" t="n">
        <v>22</v>
      </c>
    </row>
    <row r="1725" customFormat="false" ht="15" hidden="false" customHeight="true" outlineLevel="0" collapsed="false">
      <c r="A1725" s="18" t="s">
        <v>262</v>
      </c>
      <c r="B1725" s="18" t="s">
        <v>292</v>
      </c>
      <c r="C1725" s="18" t="n">
        <v>209</v>
      </c>
      <c r="D1725" s="30" t="n">
        <v>233.93</v>
      </c>
      <c r="E1725" s="18" t="n">
        <v>23</v>
      </c>
    </row>
    <row r="1726" customFormat="false" ht="15" hidden="false" customHeight="true" outlineLevel="0" collapsed="false">
      <c r="A1726" s="18" t="s">
        <v>262</v>
      </c>
      <c r="B1726" s="18" t="s">
        <v>293</v>
      </c>
      <c r="C1726" s="18" t="n">
        <v>190</v>
      </c>
      <c r="D1726" s="30" t="n">
        <v>218.41</v>
      </c>
      <c r="E1726" s="18" t="n">
        <v>24</v>
      </c>
    </row>
    <row r="1727" customFormat="false" ht="15" hidden="false" customHeight="true" outlineLevel="0" collapsed="false">
      <c r="A1727" s="18" t="s">
        <v>262</v>
      </c>
      <c r="B1727" s="18" t="s">
        <v>294</v>
      </c>
      <c r="C1727" s="18" t="n">
        <v>186</v>
      </c>
      <c r="D1727" s="30" t="n">
        <v>208.6</v>
      </c>
      <c r="E1727" s="18" t="n">
        <v>25</v>
      </c>
    </row>
    <row r="1728" customFormat="false" ht="15" hidden="false" customHeight="true" outlineLevel="0" collapsed="false">
      <c r="A1728" s="18" t="s">
        <v>262</v>
      </c>
      <c r="B1728" s="18" t="s">
        <v>295</v>
      </c>
      <c r="C1728" s="18" t="n">
        <v>187</v>
      </c>
      <c r="D1728" s="30" t="n">
        <v>216.1</v>
      </c>
      <c r="E1728" s="18" t="n">
        <v>26</v>
      </c>
    </row>
    <row r="1729" customFormat="false" ht="15" hidden="false" customHeight="true" outlineLevel="0" collapsed="false">
      <c r="A1729" s="18" t="s">
        <v>262</v>
      </c>
      <c r="B1729" s="18" t="s">
        <v>296</v>
      </c>
      <c r="C1729" s="18" t="n">
        <v>177</v>
      </c>
      <c r="D1729" s="30" t="n">
        <v>201.99</v>
      </c>
      <c r="E1729" s="18" t="n">
        <v>27</v>
      </c>
    </row>
    <row r="1730" customFormat="false" ht="15" hidden="false" customHeight="true" outlineLevel="0" collapsed="false">
      <c r="A1730" s="18" t="s">
        <v>262</v>
      </c>
      <c r="B1730" s="18" t="s">
        <v>297</v>
      </c>
      <c r="C1730" s="18" t="n">
        <v>195</v>
      </c>
      <c r="D1730" s="30" t="n">
        <v>220.48</v>
      </c>
      <c r="E1730" s="18" t="n">
        <v>28</v>
      </c>
    </row>
    <row r="1731" customFormat="false" ht="15" hidden="false" customHeight="true" outlineLevel="0" collapsed="false">
      <c r="A1731" s="18" t="s">
        <v>262</v>
      </c>
      <c r="B1731" s="18" t="s">
        <v>298</v>
      </c>
      <c r="C1731" s="18" t="n">
        <v>187</v>
      </c>
      <c r="D1731" s="30" t="n">
        <v>221.38</v>
      </c>
      <c r="E1731" s="18" t="n">
        <v>29</v>
      </c>
    </row>
    <row r="1732" customFormat="false" ht="15" hidden="false" customHeight="true" outlineLevel="0" collapsed="false">
      <c r="A1732" s="18" t="s">
        <v>262</v>
      </c>
      <c r="B1732" s="18" t="s">
        <v>299</v>
      </c>
      <c r="C1732" s="18" t="n">
        <v>291</v>
      </c>
      <c r="D1732" s="30" t="n">
        <v>344.28</v>
      </c>
      <c r="E1732" s="18" t="n">
        <v>30</v>
      </c>
    </row>
    <row r="1733" customFormat="false" ht="15" hidden="false" customHeight="true" outlineLevel="0" collapsed="false">
      <c r="A1733" s="18" t="s">
        <v>262</v>
      </c>
      <c r="B1733" s="18" t="s">
        <v>300</v>
      </c>
      <c r="C1733" s="18" t="n">
        <v>256</v>
      </c>
      <c r="D1733" s="30" t="n">
        <v>286.99</v>
      </c>
      <c r="E1733" s="18" t="n">
        <v>31</v>
      </c>
    </row>
    <row r="1734" customFormat="false" ht="15" hidden="false" customHeight="true" outlineLevel="0" collapsed="false">
      <c r="A1734" s="18" t="s">
        <v>262</v>
      </c>
      <c r="B1734" s="18" t="s">
        <v>301</v>
      </c>
      <c r="C1734" s="18" t="n">
        <v>271</v>
      </c>
      <c r="D1734" s="30" t="n">
        <v>306.75</v>
      </c>
      <c r="E1734" s="18" t="n">
        <v>32</v>
      </c>
    </row>
    <row r="1735" customFormat="false" ht="15" hidden="false" customHeight="true" outlineLevel="0" collapsed="false">
      <c r="A1735" s="18" t="s">
        <v>262</v>
      </c>
      <c r="B1735" s="18" t="s">
        <v>302</v>
      </c>
      <c r="C1735" s="18" t="n">
        <v>247</v>
      </c>
      <c r="D1735" s="30" t="n">
        <v>277.15</v>
      </c>
      <c r="E1735" s="18" t="n">
        <v>33</v>
      </c>
    </row>
    <row r="1736" customFormat="false" ht="15" hidden="false" customHeight="true" outlineLevel="0" collapsed="false">
      <c r="A1736" s="18" t="s">
        <v>262</v>
      </c>
      <c r="B1736" s="18" t="s">
        <v>303</v>
      </c>
      <c r="C1736" s="18" t="n">
        <v>331</v>
      </c>
      <c r="D1736" s="30" t="n">
        <v>376.99</v>
      </c>
      <c r="E1736" s="18" t="n">
        <v>34</v>
      </c>
    </row>
    <row r="1737" customFormat="false" ht="15" hidden="false" customHeight="true" outlineLevel="0" collapsed="false">
      <c r="A1737" s="18" t="s">
        <v>262</v>
      </c>
      <c r="B1737" s="18" t="s">
        <v>304</v>
      </c>
      <c r="C1737" s="18" t="n">
        <v>223</v>
      </c>
      <c r="D1737" s="30" t="n">
        <v>259.78</v>
      </c>
      <c r="E1737" s="18" t="n">
        <v>35</v>
      </c>
    </row>
    <row r="1738" customFormat="false" ht="15" hidden="false" customHeight="true" outlineLevel="0" collapsed="false">
      <c r="A1738" s="18" t="s">
        <v>262</v>
      </c>
      <c r="B1738" s="18" t="s">
        <v>305</v>
      </c>
      <c r="C1738" s="18" t="n">
        <v>207</v>
      </c>
      <c r="D1738" s="30" t="n">
        <v>243.08</v>
      </c>
      <c r="E1738" s="18" t="n">
        <v>36</v>
      </c>
    </row>
    <row r="1739" customFormat="false" ht="15" hidden="false" customHeight="true" outlineLevel="0" collapsed="false">
      <c r="A1739" s="18" t="s">
        <v>262</v>
      </c>
      <c r="B1739" s="18" t="s">
        <v>306</v>
      </c>
      <c r="C1739" s="18" t="n">
        <v>320</v>
      </c>
      <c r="D1739" s="30" t="n">
        <v>368.85</v>
      </c>
      <c r="E1739" s="18" t="n">
        <v>37</v>
      </c>
    </row>
    <row r="1740" customFormat="false" ht="15" hidden="false" customHeight="true" outlineLevel="0" collapsed="false">
      <c r="A1740" s="18" t="s">
        <v>262</v>
      </c>
      <c r="B1740" s="18" t="s">
        <v>307</v>
      </c>
      <c r="C1740" s="18" t="n">
        <v>204</v>
      </c>
      <c r="D1740" s="30" t="n">
        <v>234.53</v>
      </c>
      <c r="E1740" s="18" t="n">
        <v>38</v>
      </c>
    </row>
    <row r="1741" customFormat="false" ht="15" hidden="false" customHeight="true" outlineLevel="0" collapsed="false">
      <c r="A1741" s="18" t="s">
        <v>262</v>
      </c>
      <c r="B1741" s="18" t="s">
        <v>308</v>
      </c>
      <c r="C1741" s="18" t="n">
        <v>228</v>
      </c>
      <c r="D1741" s="30" t="n">
        <v>256.88</v>
      </c>
      <c r="E1741" s="18" t="n">
        <v>39</v>
      </c>
    </row>
    <row r="1742" customFormat="false" ht="15" hidden="false" customHeight="true" outlineLevel="0" collapsed="false">
      <c r="A1742" s="18" t="s">
        <v>262</v>
      </c>
      <c r="B1742" s="18" t="s">
        <v>309</v>
      </c>
      <c r="C1742" s="18" t="n">
        <v>210</v>
      </c>
      <c r="D1742" s="30" t="n">
        <v>238.08</v>
      </c>
      <c r="E1742" s="18" t="n">
        <v>40</v>
      </c>
    </row>
    <row r="1743" customFormat="false" ht="15" hidden="false" customHeight="true" outlineLevel="0" collapsed="false">
      <c r="A1743" s="18" t="s">
        <v>262</v>
      </c>
      <c r="B1743" s="18" t="s">
        <v>310</v>
      </c>
      <c r="C1743" s="18" t="n">
        <v>231</v>
      </c>
      <c r="D1743" s="30" t="n">
        <v>272.5</v>
      </c>
      <c r="E1743" s="18" t="n">
        <v>41</v>
      </c>
    </row>
    <row r="1744" customFormat="false" ht="15" hidden="false" customHeight="true" outlineLevel="0" collapsed="false">
      <c r="A1744" s="18" t="s">
        <v>262</v>
      </c>
      <c r="B1744" s="18" t="s">
        <v>311</v>
      </c>
      <c r="C1744" s="18" t="n">
        <v>205</v>
      </c>
      <c r="D1744" s="30" t="n">
        <v>236.67</v>
      </c>
      <c r="E1744" s="18" t="n">
        <v>42</v>
      </c>
    </row>
    <row r="1745" customFormat="false" ht="15" hidden="false" customHeight="true" outlineLevel="0" collapsed="false">
      <c r="A1745" s="18" t="s">
        <v>262</v>
      </c>
      <c r="B1745" s="18" t="s">
        <v>312</v>
      </c>
      <c r="C1745" s="18" t="n">
        <v>224</v>
      </c>
      <c r="D1745" s="30" t="n">
        <v>253.75</v>
      </c>
      <c r="E1745" s="18" t="n">
        <v>43</v>
      </c>
    </row>
    <row r="1746" customFormat="false" ht="15" hidden="false" customHeight="true" outlineLevel="0" collapsed="false">
      <c r="A1746" s="18" t="s">
        <v>262</v>
      </c>
      <c r="B1746" s="18" t="s">
        <v>313</v>
      </c>
      <c r="C1746" s="18" t="n">
        <v>224</v>
      </c>
      <c r="D1746" s="30" t="n">
        <v>251.23</v>
      </c>
      <c r="E1746" s="18" t="n">
        <v>44</v>
      </c>
    </row>
    <row r="1747" customFormat="false" ht="15" hidden="false" customHeight="true" outlineLevel="0" collapsed="false">
      <c r="A1747" s="18" t="s">
        <v>262</v>
      </c>
      <c r="B1747" s="18" t="s">
        <v>314</v>
      </c>
      <c r="C1747" s="18" t="n">
        <v>165</v>
      </c>
      <c r="D1747" s="30" t="n">
        <v>186.58</v>
      </c>
      <c r="E1747" s="18" t="n">
        <v>45</v>
      </c>
    </row>
    <row r="1748" customFormat="false" ht="15" hidden="false" customHeight="true" outlineLevel="0" collapsed="false">
      <c r="A1748" s="18" t="s">
        <v>262</v>
      </c>
      <c r="B1748" s="18" t="s">
        <v>315</v>
      </c>
      <c r="C1748" s="18" t="n">
        <v>180</v>
      </c>
      <c r="D1748" s="30" t="n">
        <v>204.7</v>
      </c>
      <c r="E1748" s="18" t="n">
        <v>46</v>
      </c>
    </row>
    <row r="1749" customFormat="false" ht="15" hidden="false" customHeight="true" outlineLevel="0" collapsed="false">
      <c r="A1749" s="18" t="s">
        <v>262</v>
      </c>
      <c r="B1749" s="18" t="s">
        <v>316</v>
      </c>
      <c r="C1749" s="18" t="n">
        <v>217</v>
      </c>
      <c r="D1749" s="30" t="n">
        <v>253.99</v>
      </c>
      <c r="E1749" s="18" t="n">
        <v>47</v>
      </c>
    </row>
    <row r="1750" customFormat="false" ht="15" hidden="false" customHeight="true" outlineLevel="0" collapsed="false">
      <c r="A1750" s="18" t="s">
        <v>262</v>
      </c>
      <c r="B1750" s="18" t="s">
        <v>317</v>
      </c>
      <c r="C1750" s="18" t="n">
        <v>229</v>
      </c>
      <c r="D1750" s="30" t="n">
        <v>265.75</v>
      </c>
      <c r="E1750" s="18" t="n">
        <v>48</v>
      </c>
    </row>
    <row r="1751" customFormat="false" ht="15" hidden="false" customHeight="true" outlineLevel="0" collapsed="false">
      <c r="A1751" s="18" t="s">
        <v>262</v>
      </c>
      <c r="B1751" s="18" t="s">
        <v>318</v>
      </c>
      <c r="C1751" s="18" t="n">
        <v>213</v>
      </c>
      <c r="D1751" s="30" t="n">
        <v>244.66</v>
      </c>
      <c r="E1751" s="18" t="n">
        <v>49</v>
      </c>
    </row>
    <row r="1752" customFormat="false" ht="15" hidden="false" customHeight="true" outlineLevel="0" collapsed="false">
      <c r="A1752" s="18" t="s">
        <v>262</v>
      </c>
      <c r="B1752" s="18" t="s">
        <v>319</v>
      </c>
      <c r="C1752" s="18" t="n">
        <v>226</v>
      </c>
      <c r="D1752" s="30" t="n">
        <v>260.07</v>
      </c>
      <c r="E1752" s="18" t="n">
        <v>50</v>
      </c>
    </row>
    <row r="1753" customFormat="false" ht="15" hidden="false" customHeight="true" outlineLevel="0" collapsed="false">
      <c r="A1753" s="18" t="s">
        <v>262</v>
      </c>
      <c r="B1753" s="18" t="s">
        <v>320</v>
      </c>
      <c r="C1753" s="18" t="n">
        <v>262</v>
      </c>
      <c r="D1753" s="30" t="n">
        <v>303.84</v>
      </c>
      <c r="E1753" s="18" t="n">
        <v>51</v>
      </c>
    </row>
    <row r="1754" customFormat="false" ht="15" hidden="false" customHeight="true" outlineLevel="0" collapsed="false">
      <c r="A1754" s="18" t="s">
        <v>262</v>
      </c>
      <c r="B1754" s="18" t="s">
        <v>321</v>
      </c>
      <c r="C1754" s="18" t="n">
        <v>224</v>
      </c>
      <c r="D1754" s="30" t="n">
        <v>251.79</v>
      </c>
      <c r="E1754" s="18" t="n">
        <v>52</v>
      </c>
    </row>
    <row r="1755" customFormat="false" ht="15" hidden="false" customHeight="true" outlineLevel="0" collapsed="false">
      <c r="A1755" s="18" t="s">
        <v>264</v>
      </c>
      <c r="B1755" s="18" t="s">
        <v>270</v>
      </c>
      <c r="C1755" s="18" t="n">
        <v>110</v>
      </c>
      <c r="D1755" s="30" t="n">
        <v>260.9</v>
      </c>
      <c r="E1755" s="18" t="n">
        <v>1</v>
      </c>
    </row>
    <row r="1756" customFormat="false" ht="15" hidden="false" customHeight="true" outlineLevel="0" collapsed="false">
      <c r="A1756" s="18" t="s">
        <v>264</v>
      </c>
      <c r="B1756" s="18" t="s">
        <v>271</v>
      </c>
      <c r="C1756" s="18" t="n">
        <v>98</v>
      </c>
      <c r="D1756" s="30" t="n">
        <v>228.14</v>
      </c>
      <c r="E1756" s="18" t="n">
        <v>2</v>
      </c>
    </row>
    <row r="1757" customFormat="false" ht="15" hidden="false" customHeight="true" outlineLevel="0" collapsed="false">
      <c r="A1757" s="18" t="s">
        <v>264</v>
      </c>
      <c r="B1757" s="18" t="s">
        <v>272</v>
      </c>
      <c r="C1757" s="18" t="n">
        <v>93</v>
      </c>
      <c r="D1757" s="30" t="n">
        <v>221.08</v>
      </c>
      <c r="E1757" s="18" t="n">
        <v>3</v>
      </c>
    </row>
    <row r="1758" customFormat="false" ht="15" hidden="false" customHeight="true" outlineLevel="0" collapsed="false">
      <c r="A1758" s="18" t="s">
        <v>264</v>
      </c>
      <c r="B1758" s="18" t="s">
        <v>273</v>
      </c>
      <c r="C1758" s="18" t="n">
        <v>104</v>
      </c>
      <c r="D1758" s="30" t="n">
        <v>243.68</v>
      </c>
      <c r="E1758" s="18" t="n">
        <v>4</v>
      </c>
    </row>
    <row r="1759" customFormat="false" ht="15" hidden="false" customHeight="true" outlineLevel="0" collapsed="false">
      <c r="A1759" s="18" t="s">
        <v>264</v>
      </c>
      <c r="B1759" s="18" t="s">
        <v>274</v>
      </c>
      <c r="C1759" s="18" t="n">
        <v>108</v>
      </c>
      <c r="D1759" s="30" t="n">
        <v>260.39</v>
      </c>
      <c r="E1759" s="18" t="n">
        <v>5</v>
      </c>
    </row>
    <row r="1760" customFormat="false" ht="15" hidden="false" customHeight="true" outlineLevel="0" collapsed="false">
      <c r="A1760" s="18" t="s">
        <v>264</v>
      </c>
      <c r="B1760" s="18" t="s">
        <v>275</v>
      </c>
      <c r="C1760" s="18" t="n">
        <v>100</v>
      </c>
      <c r="D1760" s="30" t="n">
        <v>240.41</v>
      </c>
      <c r="E1760" s="18" t="n">
        <v>6</v>
      </c>
    </row>
    <row r="1761" customFormat="false" ht="15" hidden="false" customHeight="true" outlineLevel="0" collapsed="false">
      <c r="A1761" s="18" t="s">
        <v>264</v>
      </c>
      <c r="B1761" s="18" t="s">
        <v>276</v>
      </c>
      <c r="C1761" s="18" t="n">
        <v>103</v>
      </c>
      <c r="D1761" s="30" t="n">
        <v>244.38</v>
      </c>
      <c r="E1761" s="18" t="n">
        <v>7</v>
      </c>
    </row>
    <row r="1762" customFormat="false" ht="15" hidden="false" customHeight="true" outlineLevel="0" collapsed="false">
      <c r="A1762" s="18" t="s">
        <v>264</v>
      </c>
      <c r="B1762" s="18" t="s">
        <v>277</v>
      </c>
      <c r="C1762" s="18" t="n">
        <v>129</v>
      </c>
      <c r="D1762" s="30" t="n">
        <v>313.46</v>
      </c>
      <c r="E1762" s="18" t="n">
        <v>8</v>
      </c>
    </row>
    <row r="1763" customFormat="false" ht="15" hidden="false" customHeight="true" outlineLevel="0" collapsed="false">
      <c r="A1763" s="18" t="s">
        <v>264</v>
      </c>
      <c r="B1763" s="18" t="s">
        <v>278</v>
      </c>
      <c r="C1763" s="18" t="n">
        <v>118</v>
      </c>
      <c r="D1763" s="30" t="n">
        <v>288.48</v>
      </c>
      <c r="E1763" s="18" t="n">
        <v>9</v>
      </c>
    </row>
    <row r="1764" customFormat="false" ht="15" hidden="false" customHeight="true" outlineLevel="0" collapsed="false">
      <c r="A1764" s="18" t="s">
        <v>264</v>
      </c>
      <c r="B1764" s="18" t="s">
        <v>279</v>
      </c>
      <c r="C1764" s="18" t="n">
        <v>107</v>
      </c>
      <c r="D1764" s="30" t="n">
        <v>259.25</v>
      </c>
      <c r="E1764" s="18" t="n">
        <v>10</v>
      </c>
    </row>
    <row r="1765" customFormat="false" ht="15" hidden="false" customHeight="true" outlineLevel="0" collapsed="false">
      <c r="A1765" s="18" t="s">
        <v>264</v>
      </c>
      <c r="B1765" s="18" t="s">
        <v>280</v>
      </c>
      <c r="C1765" s="18" t="n">
        <v>96</v>
      </c>
      <c r="D1765" s="30" t="n">
        <v>231.27</v>
      </c>
      <c r="E1765" s="18" t="n">
        <v>11</v>
      </c>
    </row>
    <row r="1766" customFormat="false" ht="15" hidden="false" customHeight="true" outlineLevel="0" collapsed="false">
      <c r="A1766" s="18" t="s">
        <v>264</v>
      </c>
      <c r="B1766" s="18" t="s">
        <v>281</v>
      </c>
      <c r="C1766" s="18" t="n">
        <v>99</v>
      </c>
      <c r="D1766" s="30" t="n">
        <v>236.84</v>
      </c>
      <c r="E1766" s="18" t="n">
        <v>12</v>
      </c>
    </row>
    <row r="1767" customFormat="false" ht="15" hidden="false" customHeight="true" outlineLevel="0" collapsed="false">
      <c r="A1767" s="18" t="s">
        <v>264</v>
      </c>
      <c r="B1767" s="18" t="s">
        <v>282</v>
      </c>
      <c r="C1767" s="18" t="n">
        <v>85</v>
      </c>
      <c r="D1767" s="30" t="n">
        <v>205.81</v>
      </c>
      <c r="E1767" s="18" t="n">
        <v>13</v>
      </c>
    </row>
    <row r="1768" customFormat="false" ht="15" hidden="false" customHeight="true" outlineLevel="0" collapsed="false">
      <c r="A1768" s="18" t="s">
        <v>264</v>
      </c>
      <c r="B1768" s="18" t="s">
        <v>283</v>
      </c>
      <c r="C1768" s="18" t="n">
        <v>105</v>
      </c>
      <c r="D1768" s="30" t="n">
        <v>252.83</v>
      </c>
      <c r="E1768" s="18" t="n">
        <v>14</v>
      </c>
    </row>
    <row r="1769" customFormat="false" ht="15" hidden="false" customHeight="true" outlineLevel="0" collapsed="false">
      <c r="A1769" s="18" t="s">
        <v>264</v>
      </c>
      <c r="B1769" s="18" t="s">
        <v>284</v>
      </c>
      <c r="C1769" s="18" t="n">
        <v>92</v>
      </c>
      <c r="D1769" s="30" t="n">
        <v>214.77</v>
      </c>
      <c r="E1769" s="18" t="n">
        <v>15</v>
      </c>
    </row>
    <row r="1770" customFormat="false" ht="15" hidden="false" customHeight="true" outlineLevel="0" collapsed="false">
      <c r="A1770" s="18" t="s">
        <v>264</v>
      </c>
      <c r="B1770" s="18" t="s">
        <v>285</v>
      </c>
      <c r="C1770" s="18" t="n">
        <v>101</v>
      </c>
      <c r="D1770" s="30" t="n">
        <v>242.5</v>
      </c>
      <c r="E1770" s="18" t="n">
        <v>16</v>
      </c>
    </row>
    <row r="1771" customFormat="false" ht="15" hidden="false" customHeight="true" outlineLevel="0" collapsed="false">
      <c r="A1771" s="18" t="s">
        <v>264</v>
      </c>
      <c r="B1771" s="18" t="s">
        <v>286</v>
      </c>
      <c r="C1771" s="18" t="n">
        <v>104</v>
      </c>
      <c r="D1771" s="30" t="n">
        <v>242.69</v>
      </c>
      <c r="E1771" s="18" t="n">
        <v>17</v>
      </c>
    </row>
    <row r="1772" customFormat="false" ht="15" hidden="false" customHeight="true" outlineLevel="0" collapsed="false">
      <c r="A1772" s="18" t="s">
        <v>264</v>
      </c>
      <c r="B1772" s="18" t="s">
        <v>287</v>
      </c>
      <c r="C1772" s="18" t="n">
        <v>97</v>
      </c>
      <c r="D1772" s="30" t="n">
        <v>229.57</v>
      </c>
      <c r="E1772" s="18" t="n">
        <v>18</v>
      </c>
    </row>
    <row r="1773" customFormat="false" ht="15" hidden="false" customHeight="true" outlineLevel="0" collapsed="false">
      <c r="A1773" s="18" t="s">
        <v>264</v>
      </c>
      <c r="B1773" s="18" t="s">
        <v>288</v>
      </c>
      <c r="C1773" s="18" t="n">
        <v>88</v>
      </c>
      <c r="D1773" s="30" t="n">
        <v>210.37</v>
      </c>
      <c r="E1773" s="18" t="n">
        <v>19</v>
      </c>
    </row>
    <row r="1774" customFormat="false" ht="15" hidden="false" customHeight="true" outlineLevel="0" collapsed="false">
      <c r="A1774" s="18" t="s">
        <v>264</v>
      </c>
      <c r="B1774" s="18" t="s">
        <v>289</v>
      </c>
      <c r="C1774" s="18" t="n">
        <v>83</v>
      </c>
      <c r="D1774" s="30" t="n">
        <v>196.96</v>
      </c>
      <c r="E1774" s="18" t="n">
        <v>20</v>
      </c>
    </row>
    <row r="1775" customFormat="false" ht="15" hidden="false" customHeight="true" outlineLevel="0" collapsed="false">
      <c r="A1775" s="18" t="s">
        <v>264</v>
      </c>
      <c r="B1775" s="18" t="s">
        <v>290</v>
      </c>
      <c r="C1775" s="18" t="n">
        <v>80</v>
      </c>
      <c r="D1775" s="30" t="n">
        <v>187.82</v>
      </c>
      <c r="E1775" s="18" t="n">
        <v>21</v>
      </c>
    </row>
    <row r="1776" customFormat="false" ht="15" hidden="false" customHeight="true" outlineLevel="0" collapsed="false">
      <c r="A1776" s="18" t="s">
        <v>264</v>
      </c>
      <c r="B1776" s="18" t="s">
        <v>291</v>
      </c>
      <c r="C1776" s="18" t="n">
        <v>107</v>
      </c>
      <c r="D1776" s="30" t="n">
        <v>251.75</v>
      </c>
      <c r="E1776" s="18" t="n">
        <v>22</v>
      </c>
    </row>
    <row r="1777" customFormat="false" ht="15" hidden="false" customHeight="true" outlineLevel="0" collapsed="false">
      <c r="A1777" s="18" t="s">
        <v>264</v>
      </c>
      <c r="B1777" s="18" t="s">
        <v>292</v>
      </c>
      <c r="C1777" s="18" t="n">
        <v>99</v>
      </c>
      <c r="D1777" s="30" t="n">
        <v>241.6</v>
      </c>
      <c r="E1777" s="18" t="n">
        <v>23</v>
      </c>
    </row>
    <row r="1778" customFormat="false" ht="15" hidden="false" customHeight="true" outlineLevel="0" collapsed="false">
      <c r="A1778" s="18" t="s">
        <v>264</v>
      </c>
      <c r="B1778" s="18" t="s">
        <v>293</v>
      </c>
      <c r="C1778" s="18" t="n">
        <v>95</v>
      </c>
      <c r="D1778" s="30" t="n">
        <v>227.69</v>
      </c>
      <c r="E1778" s="18" t="n">
        <v>24</v>
      </c>
    </row>
    <row r="1779" customFormat="false" ht="15" hidden="false" customHeight="true" outlineLevel="0" collapsed="false">
      <c r="A1779" s="18" t="s">
        <v>264</v>
      </c>
      <c r="B1779" s="18" t="s">
        <v>294</v>
      </c>
      <c r="C1779" s="18" t="n">
        <v>109</v>
      </c>
      <c r="D1779" s="30" t="n">
        <v>254.41</v>
      </c>
      <c r="E1779" s="18" t="n">
        <v>25</v>
      </c>
    </row>
    <row r="1780" customFormat="false" ht="15" hidden="false" customHeight="true" outlineLevel="0" collapsed="false">
      <c r="A1780" s="18" t="s">
        <v>264</v>
      </c>
      <c r="B1780" s="18" t="s">
        <v>295</v>
      </c>
      <c r="C1780" s="18" t="n">
        <v>118</v>
      </c>
      <c r="D1780" s="30" t="n">
        <v>285.3</v>
      </c>
      <c r="E1780" s="18" t="n">
        <v>26</v>
      </c>
    </row>
    <row r="1781" customFormat="false" ht="15" hidden="false" customHeight="true" outlineLevel="0" collapsed="false">
      <c r="A1781" s="18" t="s">
        <v>264</v>
      </c>
      <c r="B1781" s="18" t="s">
        <v>296</v>
      </c>
      <c r="C1781" s="18" t="n">
        <v>100</v>
      </c>
      <c r="D1781" s="30" t="n">
        <v>233.52</v>
      </c>
      <c r="E1781" s="18" t="n">
        <v>27</v>
      </c>
    </row>
    <row r="1782" customFormat="false" ht="15" hidden="false" customHeight="true" outlineLevel="0" collapsed="false">
      <c r="A1782" s="18" t="s">
        <v>264</v>
      </c>
      <c r="B1782" s="18" t="s">
        <v>297</v>
      </c>
      <c r="C1782" s="18" t="n">
        <v>116</v>
      </c>
      <c r="D1782" s="30" t="n">
        <v>273.15</v>
      </c>
      <c r="E1782" s="18" t="n">
        <v>28</v>
      </c>
    </row>
    <row r="1783" customFormat="false" ht="15" hidden="false" customHeight="true" outlineLevel="0" collapsed="false">
      <c r="A1783" s="18" t="s">
        <v>264</v>
      </c>
      <c r="B1783" s="18" t="s">
        <v>298</v>
      </c>
      <c r="C1783" s="18" t="n">
        <v>120</v>
      </c>
      <c r="D1783" s="30" t="n">
        <v>287.69</v>
      </c>
      <c r="E1783" s="18" t="n">
        <v>29</v>
      </c>
    </row>
    <row r="1784" customFormat="false" ht="15" hidden="false" customHeight="true" outlineLevel="0" collapsed="false">
      <c r="A1784" s="18" t="s">
        <v>264</v>
      </c>
      <c r="B1784" s="18" t="s">
        <v>299</v>
      </c>
      <c r="C1784" s="18" t="n">
        <v>140</v>
      </c>
      <c r="D1784" s="30" t="n">
        <v>341.3</v>
      </c>
      <c r="E1784" s="18" t="n">
        <v>30</v>
      </c>
    </row>
    <row r="1785" customFormat="false" ht="15" hidden="false" customHeight="true" outlineLevel="0" collapsed="false">
      <c r="A1785" s="18" t="s">
        <v>264</v>
      </c>
      <c r="B1785" s="18" t="s">
        <v>300</v>
      </c>
      <c r="C1785" s="18" t="n">
        <v>118</v>
      </c>
      <c r="D1785" s="30" t="n">
        <v>283.52</v>
      </c>
      <c r="E1785" s="18" t="n">
        <v>31</v>
      </c>
    </row>
    <row r="1786" customFormat="false" ht="15" hidden="false" customHeight="true" outlineLevel="0" collapsed="false">
      <c r="A1786" s="18" t="s">
        <v>264</v>
      </c>
      <c r="B1786" s="18" t="s">
        <v>301</v>
      </c>
      <c r="C1786" s="18" t="n">
        <v>112</v>
      </c>
      <c r="D1786" s="30" t="n">
        <v>263.45</v>
      </c>
      <c r="E1786" s="18" t="n">
        <v>32</v>
      </c>
    </row>
    <row r="1787" customFormat="false" ht="15" hidden="false" customHeight="true" outlineLevel="0" collapsed="false">
      <c r="A1787" s="18" t="s">
        <v>264</v>
      </c>
      <c r="B1787" s="18" t="s">
        <v>302</v>
      </c>
      <c r="C1787" s="18" t="n">
        <v>131</v>
      </c>
      <c r="D1787" s="30" t="n">
        <v>304.21</v>
      </c>
      <c r="E1787" s="18" t="n">
        <v>33</v>
      </c>
    </row>
    <row r="1788" customFormat="false" ht="15" hidden="false" customHeight="true" outlineLevel="0" collapsed="false">
      <c r="A1788" s="18" t="s">
        <v>264</v>
      </c>
      <c r="B1788" s="18" t="s">
        <v>303</v>
      </c>
      <c r="C1788" s="18" t="n">
        <v>137</v>
      </c>
      <c r="D1788" s="30" t="n">
        <v>330.52</v>
      </c>
      <c r="E1788" s="18" t="n">
        <v>34</v>
      </c>
    </row>
    <row r="1789" customFormat="false" ht="15" hidden="false" customHeight="true" outlineLevel="0" collapsed="false">
      <c r="A1789" s="18" t="s">
        <v>264</v>
      </c>
      <c r="B1789" s="18" t="s">
        <v>304</v>
      </c>
      <c r="C1789" s="18" t="n">
        <v>129</v>
      </c>
      <c r="D1789" s="30" t="n">
        <v>307.36</v>
      </c>
      <c r="E1789" s="18" t="n">
        <v>35</v>
      </c>
    </row>
    <row r="1790" customFormat="false" ht="15" hidden="false" customHeight="true" outlineLevel="0" collapsed="false">
      <c r="A1790" s="18" t="s">
        <v>264</v>
      </c>
      <c r="B1790" s="18" t="s">
        <v>305</v>
      </c>
      <c r="C1790" s="18" t="n">
        <v>148</v>
      </c>
      <c r="D1790" s="30" t="n">
        <v>359.17</v>
      </c>
      <c r="E1790" s="18" t="n">
        <v>36</v>
      </c>
    </row>
    <row r="1791" customFormat="false" ht="15" hidden="false" customHeight="true" outlineLevel="0" collapsed="false">
      <c r="A1791" s="18" t="s">
        <v>264</v>
      </c>
      <c r="B1791" s="18" t="s">
        <v>306</v>
      </c>
      <c r="C1791" s="18" t="n">
        <v>119</v>
      </c>
      <c r="D1791" s="30" t="n">
        <v>283.23</v>
      </c>
      <c r="E1791" s="18" t="n">
        <v>37</v>
      </c>
    </row>
    <row r="1792" customFormat="false" ht="15" hidden="false" customHeight="true" outlineLevel="0" collapsed="false">
      <c r="A1792" s="18" t="s">
        <v>264</v>
      </c>
      <c r="B1792" s="18" t="s">
        <v>307</v>
      </c>
      <c r="C1792" s="18" t="n">
        <v>124</v>
      </c>
      <c r="D1792" s="30" t="n">
        <v>291.01</v>
      </c>
      <c r="E1792" s="18" t="n">
        <v>38</v>
      </c>
    </row>
    <row r="1793" customFormat="false" ht="15" hidden="false" customHeight="true" outlineLevel="0" collapsed="false">
      <c r="A1793" s="18" t="s">
        <v>264</v>
      </c>
      <c r="B1793" s="18" t="s">
        <v>308</v>
      </c>
      <c r="C1793" s="18" t="n">
        <v>99</v>
      </c>
      <c r="D1793" s="30" t="n">
        <v>240.78</v>
      </c>
      <c r="E1793" s="18" t="n">
        <v>39</v>
      </c>
    </row>
    <row r="1794" customFormat="false" ht="15" hidden="false" customHeight="true" outlineLevel="0" collapsed="false">
      <c r="A1794" s="18" t="s">
        <v>264</v>
      </c>
      <c r="B1794" s="18" t="s">
        <v>309</v>
      </c>
      <c r="C1794" s="18" t="n">
        <v>103</v>
      </c>
      <c r="D1794" s="30" t="n">
        <v>244.9</v>
      </c>
      <c r="E1794" s="18" t="n">
        <v>40</v>
      </c>
    </row>
    <row r="1795" customFormat="false" ht="15" hidden="false" customHeight="true" outlineLevel="0" collapsed="false">
      <c r="A1795" s="18" t="s">
        <v>264</v>
      </c>
      <c r="B1795" s="18" t="s">
        <v>310</v>
      </c>
      <c r="C1795" s="18" t="n">
        <v>104</v>
      </c>
      <c r="D1795" s="30" t="n">
        <v>251.95</v>
      </c>
      <c r="E1795" s="18" t="n">
        <v>41</v>
      </c>
    </row>
    <row r="1796" customFormat="false" ht="15" hidden="false" customHeight="true" outlineLevel="0" collapsed="false">
      <c r="A1796" s="18" t="s">
        <v>264</v>
      </c>
      <c r="B1796" s="18" t="s">
        <v>311</v>
      </c>
      <c r="C1796" s="18" t="n">
        <v>107</v>
      </c>
      <c r="D1796" s="30" t="n">
        <v>252.91</v>
      </c>
      <c r="E1796" s="18" t="n">
        <v>42</v>
      </c>
    </row>
    <row r="1797" customFormat="false" ht="15" hidden="false" customHeight="true" outlineLevel="0" collapsed="false">
      <c r="A1797" s="18" t="s">
        <v>264</v>
      </c>
      <c r="B1797" s="18" t="s">
        <v>312</v>
      </c>
      <c r="C1797" s="18" t="n">
        <v>91</v>
      </c>
      <c r="D1797" s="30" t="n">
        <v>212.07</v>
      </c>
      <c r="E1797" s="18" t="n">
        <v>43</v>
      </c>
    </row>
    <row r="1798" customFormat="false" ht="15" hidden="false" customHeight="true" outlineLevel="0" collapsed="false">
      <c r="A1798" s="18" t="s">
        <v>264</v>
      </c>
      <c r="B1798" s="18" t="s">
        <v>313</v>
      </c>
      <c r="C1798" s="18" t="n">
        <v>113</v>
      </c>
      <c r="D1798" s="30" t="n">
        <v>268.61</v>
      </c>
      <c r="E1798" s="18" t="n">
        <v>44</v>
      </c>
    </row>
    <row r="1799" customFormat="false" ht="15" hidden="false" customHeight="true" outlineLevel="0" collapsed="false">
      <c r="A1799" s="18" t="s">
        <v>264</v>
      </c>
      <c r="B1799" s="18" t="s">
        <v>314</v>
      </c>
      <c r="C1799" s="18" t="n">
        <v>95</v>
      </c>
      <c r="D1799" s="30" t="n">
        <v>231.64</v>
      </c>
      <c r="E1799" s="18" t="n">
        <v>45</v>
      </c>
    </row>
    <row r="1800" customFormat="false" ht="15" hidden="false" customHeight="true" outlineLevel="0" collapsed="false">
      <c r="A1800" s="18" t="s">
        <v>264</v>
      </c>
      <c r="B1800" s="18" t="s">
        <v>315</v>
      </c>
      <c r="C1800" s="18" t="n">
        <v>131</v>
      </c>
      <c r="D1800" s="30" t="n">
        <v>314.15</v>
      </c>
      <c r="E1800" s="18" t="n">
        <v>46</v>
      </c>
    </row>
    <row r="1801" customFormat="false" ht="15" hidden="false" customHeight="true" outlineLevel="0" collapsed="false">
      <c r="A1801" s="18" t="s">
        <v>264</v>
      </c>
      <c r="B1801" s="18" t="s">
        <v>316</v>
      </c>
      <c r="C1801" s="18" t="n">
        <v>96</v>
      </c>
      <c r="D1801" s="30" t="n">
        <v>228.62</v>
      </c>
      <c r="E1801" s="18" t="n">
        <v>47</v>
      </c>
    </row>
    <row r="1802" customFormat="false" ht="15" hidden="false" customHeight="true" outlineLevel="0" collapsed="false">
      <c r="A1802" s="18" t="s">
        <v>264</v>
      </c>
      <c r="B1802" s="18" t="s">
        <v>317</v>
      </c>
      <c r="C1802" s="18" t="n">
        <v>107</v>
      </c>
      <c r="D1802" s="30" t="n">
        <v>247.33</v>
      </c>
      <c r="E1802" s="18" t="n">
        <v>48</v>
      </c>
    </row>
    <row r="1803" customFormat="false" ht="15" hidden="false" customHeight="true" outlineLevel="0" collapsed="false">
      <c r="A1803" s="18" t="s">
        <v>264</v>
      </c>
      <c r="B1803" s="18" t="s">
        <v>318</v>
      </c>
      <c r="C1803" s="18" t="n">
        <v>107</v>
      </c>
      <c r="D1803" s="30" t="n">
        <v>260.1</v>
      </c>
      <c r="E1803" s="18" t="n">
        <v>49</v>
      </c>
    </row>
    <row r="1804" customFormat="false" ht="15" hidden="false" customHeight="true" outlineLevel="0" collapsed="false">
      <c r="A1804" s="18" t="s">
        <v>264</v>
      </c>
      <c r="B1804" s="18" t="s">
        <v>319</v>
      </c>
      <c r="C1804" s="18" t="n">
        <v>98</v>
      </c>
      <c r="D1804" s="30" t="n">
        <v>237.38</v>
      </c>
      <c r="E1804" s="18" t="n">
        <v>50</v>
      </c>
    </row>
    <row r="1805" customFormat="false" ht="15" hidden="false" customHeight="true" outlineLevel="0" collapsed="false">
      <c r="A1805" s="18" t="s">
        <v>264</v>
      </c>
      <c r="B1805" s="18" t="s">
        <v>320</v>
      </c>
      <c r="C1805" s="18" t="n">
        <v>112</v>
      </c>
      <c r="D1805" s="30" t="n">
        <v>267.02</v>
      </c>
      <c r="E1805" s="18" t="n">
        <v>51</v>
      </c>
    </row>
    <row r="1806" customFormat="false" ht="15" hidden="false" customHeight="true" outlineLevel="0" collapsed="false">
      <c r="A1806" s="18" t="s">
        <v>264</v>
      </c>
      <c r="B1806" s="18" t="s">
        <v>321</v>
      </c>
      <c r="C1806" s="18" t="n">
        <v>115</v>
      </c>
      <c r="D1806" s="30" t="n">
        <v>271.78</v>
      </c>
      <c r="E1806" s="18" t="n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21"/>
  </cols>
  <sheetData>
    <row r="1" customFormat="false" ht="27.75" hidden="false" customHeight="true" outlineLevel="0" collapsed="false">
      <c r="A1" s="25" t="s">
        <v>19</v>
      </c>
      <c r="B1" s="25" t="s">
        <v>322</v>
      </c>
      <c r="C1" s="25" t="s">
        <v>323</v>
      </c>
      <c r="D1" s="25" t="s">
        <v>324</v>
      </c>
      <c r="E1" s="25" t="s">
        <v>325</v>
      </c>
      <c r="F1" s="25" t="s">
        <v>153</v>
      </c>
      <c r="G1" s="25" t="s">
        <v>326</v>
      </c>
    </row>
    <row r="2" customFormat="false" ht="15" hidden="false" customHeight="true" outlineLevel="0" collapsed="false">
      <c r="A2" s="18" t="s">
        <v>154</v>
      </c>
      <c r="B2" s="18" t="s">
        <v>327</v>
      </c>
      <c r="C2" s="18" t="n">
        <v>331</v>
      </c>
      <c r="D2" s="18" t="n">
        <v>117</v>
      </c>
      <c r="E2" s="18" t="s">
        <v>158</v>
      </c>
      <c r="F2" s="18" t="s">
        <v>159</v>
      </c>
      <c r="G2" s="18" t="n">
        <f aca="false">IF(D2="",0,D2)</f>
        <v>117</v>
      </c>
    </row>
    <row r="3" customFormat="false" ht="15" hidden="false" customHeight="true" outlineLevel="0" collapsed="false">
      <c r="A3" s="18" t="s">
        <v>154</v>
      </c>
      <c r="B3" s="18" t="s">
        <v>328</v>
      </c>
      <c r="C3" s="18" t="n">
        <v>392</v>
      </c>
      <c r="D3" s="18" t="n">
        <v>118</v>
      </c>
      <c r="E3" s="18" t="s">
        <v>177</v>
      </c>
      <c r="F3" s="18" t="s">
        <v>159</v>
      </c>
      <c r="G3" s="18" t="n">
        <f aca="false">IF(D3="",0,D3)</f>
        <v>118</v>
      </c>
    </row>
    <row r="4" customFormat="false" ht="15" hidden="false" customHeight="true" outlineLevel="0" collapsed="false">
      <c r="A4" s="18" t="s">
        <v>154</v>
      </c>
      <c r="B4" s="18" t="s">
        <v>329</v>
      </c>
      <c r="C4" s="18" t="n">
        <v>324</v>
      </c>
      <c r="D4" s="18" t="n">
        <v>19</v>
      </c>
      <c r="E4" s="18" t="s">
        <v>177</v>
      </c>
      <c r="F4" s="18" t="s">
        <v>159</v>
      </c>
      <c r="G4" s="18" t="n">
        <f aca="false">IF(D4="",0,D4)</f>
        <v>19</v>
      </c>
    </row>
    <row r="5" customFormat="false" ht="15" hidden="false" customHeight="true" outlineLevel="0" collapsed="false">
      <c r="A5" s="18" t="s">
        <v>154</v>
      </c>
      <c r="B5" s="18" t="s">
        <v>330</v>
      </c>
      <c r="C5" s="18" t="n">
        <v>380</v>
      </c>
      <c r="D5" s="18" t="n">
        <v>75</v>
      </c>
      <c r="E5" s="18" t="s">
        <v>177</v>
      </c>
      <c r="F5" s="18" t="s">
        <v>159</v>
      </c>
      <c r="G5" s="18" t="n">
        <f aca="false">IF(D5="",0,D5)</f>
        <v>75</v>
      </c>
    </row>
    <row r="6" customFormat="false" ht="15" hidden="false" customHeight="true" outlineLevel="0" collapsed="false">
      <c r="A6" s="18" t="s">
        <v>154</v>
      </c>
      <c r="B6" s="18" t="s">
        <v>331</v>
      </c>
      <c r="C6" s="18" t="n">
        <v>499</v>
      </c>
      <c r="D6" s="18" t="n">
        <v>5</v>
      </c>
      <c r="E6" s="18" t="s">
        <v>253</v>
      </c>
      <c r="F6" s="18" t="s">
        <v>159</v>
      </c>
      <c r="G6" s="18" t="n">
        <f aca="false">IF(D6="",0,D6)</f>
        <v>5</v>
      </c>
    </row>
    <row r="7" customFormat="false" ht="15" hidden="false" customHeight="true" outlineLevel="0" collapsed="false">
      <c r="A7" s="18" t="s">
        <v>154</v>
      </c>
      <c r="B7" s="18" t="s">
        <v>332</v>
      </c>
      <c r="C7" s="18" t="n">
        <v>471</v>
      </c>
      <c r="D7" s="18" t="n">
        <v>259</v>
      </c>
      <c r="E7" s="18" t="s">
        <v>158</v>
      </c>
      <c r="F7" s="18" t="s">
        <v>159</v>
      </c>
      <c r="G7" s="18" t="n">
        <f aca="false">IF(D7="",0,D7)</f>
        <v>259</v>
      </c>
    </row>
    <row r="8" customFormat="false" ht="15" hidden="false" customHeight="true" outlineLevel="0" collapsed="false">
      <c r="A8" s="18" t="s">
        <v>154</v>
      </c>
      <c r="B8" s="18" t="s">
        <v>333</v>
      </c>
      <c r="C8" s="18" t="n">
        <v>404</v>
      </c>
      <c r="D8" s="18" t="n">
        <v>150</v>
      </c>
      <c r="E8" s="18" t="s">
        <v>253</v>
      </c>
      <c r="F8" s="18" t="s">
        <v>159</v>
      </c>
      <c r="G8" s="18" t="n">
        <f aca="false">IF(D8="",0,D8)</f>
        <v>150</v>
      </c>
    </row>
    <row r="9" customFormat="false" ht="15" hidden="false" customHeight="true" outlineLevel="0" collapsed="false">
      <c r="A9" s="18" t="s">
        <v>154</v>
      </c>
      <c r="B9" s="18" t="s">
        <v>334</v>
      </c>
      <c r="C9" s="18" t="n">
        <v>595</v>
      </c>
      <c r="D9" s="18" t="n">
        <v>242</v>
      </c>
      <c r="E9" s="18" t="s">
        <v>158</v>
      </c>
      <c r="F9" s="18" t="s">
        <v>159</v>
      </c>
      <c r="G9" s="18" t="n">
        <f aca="false">IF(D9="",0,D9)</f>
        <v>242</v>
      </c>
    </row>
    <row r="10" customFormat="false" ht="15" hidden="false" customHeight="true" outlineLevel="0" collapsed="false">
      <c r="A10" s="18" t="s">
        <v>154</v>
      </c>
      <c r="B10" s="18" t="s">
        <v>335</v>
      </c>
      <c r="C10" s="18" t="n">
        <v>516</v>
      </c>
      <c r="D10" s="18" t="n">
        <v>247</v>
      </c>
      <c r="E10" s="18" t="s">
        <v>253</v>
      </c>
      <c r="F10" s="18" t="s">
        <v>159</v>
      </c>
      <c r="G10" s="18" t="n">
        <f aca="false">IF(D10="",0,D10)</f>
        <v>247</v>
      </c>
    </row>
    <row r="11" customFormat="false" ht="15" hidden="false" customHeight="true" outlineLevel="0" collapsed="false">
      <c r="A11" s="18" t="s">
        <v>154</v>
      </c>
      <c r="B11" s="18" t="s">
        <v>336</v>
      </c>
      <c r="C11" s="18" t="n">
        <v>351</v>
      </c>
      <c r="D11" s="18" t="n">
        <v>19</v>
      </c>
      <c r="E11" s="18" t="s">
        <v>253</v>
      </c>
      <c r="F11" s="18" t="s">
        <v>159</v>
      </c>
      <c r="G11" s="18" t="n">
        <f aca="false">IF(D11="",0,D11)</f>
        <v>19</v>
      </c>
    </row>
    <row r="12" customFormat="false" ht="15" hidden="false" customHeight="true" outlineLevel="0" collapsed="false">
      <c r="A12" s="18" t="s">
        <v>154</v>
      </c>
      <c r="B12" s="18" t="s">
        <v>337</v>
      </c>
      <c r="C12" s="18" t="n">
        <v>0</v>
      </c>
      <c r="D12" s="18" t="n">
        <v>149</v>
      </c>
      <c r="E12" s="18" t="s">
        <v>177</v>
      </c>
      <c r="F12" s="18" t="s">
        <v>159</v>
      </c>
      <c r="G12" s="18" t="n">
        <f aca="false">IF(D12="",0,D12)</f>
        <v>149</v>
      </c>
    </row>
    <row r="13" customFormat="false" ht="15" hidden="false" customHeight="true" outlineLevel="0" collapsed="false">
      <c r="A13" s="18" t="s">
        <v>154</v>
      </c>
      <c r="B13" s="18" t="s">
        <v>338</v>
      </c>
      <c r="C13" s="18" t="n">
        <v>400</v>
      </c>
      <c r="D13" s="18" t="n">
        <v>32</v>
      </c>
      <c r="E13" s="18" t="s">
        <v>158</v>
      </c>
      <c r="F13" s="18" t="s">
        <v>159</v>
      </c>
      <c r="G13" s="18" t="n">
        <f aca="false">IF(D13="",0,D13)</f>
        <v>32</v>
      </c>
    </row>
    <row r="14" customFormat="false" ht="15" hidden="false" customHeight="true" outlineLevel="0" collapsed="false">
      <c r="A14" s="18" t="s">
        <v>160</v>
      </c>
      <c r="B14" s="18" t="s">
        <v>327</v>
      </c>
      <c r="C14" s="18" t="n">
        <v>0</v>
      </c>
      <c r="D14" s="18" t="n">
        <v>259</v>
      </c>
      <c r="E14" s="18" t="s">
        <v>166</v>
      </c>
      <c r="F14" s="18" t="s">
        <v>163</v>
      </c>
      <c r="G14" s="18" t="n">
        <f aca="false">IF(D14="",0,D14)</f>
        <v>259</v>
      </c>
    </row>
    <row r="15" customFormat="false" ht="15" hidden="false" customHeight="true" outlineLevel="0" collapsed="false">
      <c r="A15" s="18" t="s">
        <v>160</v>
      </c>
      <c r="B15" s="18" t="s">
        <v>328</v>
      </c>
      <c r="C15" s="18" t="n">
        <v>0</v>
      </c>
      <c r="D15" s="18" t="n">
        <v>240</v>
      </c>
      <c r="E15" s="18" t="s">
        <v>166</v>
      </c>
      <c r="F15" s="18" t="s">
        <v>163</v>
      </c>
      <c r="G15" s="18" t="n">
        <f aca="false">IF(D15="",0,D15)</f>
        <v>240</v>
      </c>
    </row>
    <row r="16" customFormat="false" ht="15" hidden="false" customHeight="true" outlineLevel="0" collapsed="false">
      <c r="A16" s="18" t="s">
        <v>160</v>
      </c>
      <c r="B16" s="18" t="s">
        <v>329</v>
      </c>
      <c r="C16" s="18" t="n">
        <v>0</v>
      </c>
      <c r="D16" s="18"/>
      <c r="E16" s="18" t="s">
        <v>166</v>
      </c>
      <c r="F16" s="18" t="s">
        <v>163</v>
      </c>
      <c r="G16" s="18" t="n">
        <f aca="false">IF(D16="",0,D16)</f>
        <v>0</v>
      </c>
    </row>
    <row r="17" customFormat="false" ht="15" hidden="false" customHeight="true" outlineLevel="0" collapsed="false">
      <c r="A17" s="18" t="s">
        <v>160</v>
      </c>
      <c r="B17" s="18" t="s">
        <v>330</v>
      </c>
      <c r="C17" s="18" t="n">
        <v>334</v>
      </c>
      <c r="D17" s="18" t="n">
        <v>115</v>
      </c>
      <c r="E17" s="18" t="s">
        <v>162</v>
      </c>
      <c r="F17" s="18" t="s">
        <v>163</v>
      </c>
      <c r="G17" s="18" t="n">
        <f aca="false">IF(D17="",0,D17)</f>
        <v>115</v>
      </c>
    </row>
    <row r="18" customFormat="false" ht="15" hidden="false" customHeight="true" outlineLevel="0" collapsed="false">
      <c r="A18" s="18" t="s">
        <v>160</v>
      </c>
      <c r="B18" s="18" t="s">
        <v>331</v>
      </c>
      <c r="C18" s="18" t="n">
        <v>0</v>
      </c>
      <c r="D18" s="18" t="n">
        <v>60</v>
      </c>
      <c r="E18" s="18" t="s">
        <v>194</v>
      </c>
      <c r="F18" s="18" t="s">
        <v>163</v>
      </c>
      <c r="G18" s="18" t="n">
        <f aca="false">IF(D18="",0,D18)</f>
        <v>60</v>
      </c>
    </row>
    <row r="19" customFormat="false" ht="15" hidden="false" customHeight="true" outlineLevel="0" collapsed="false">
      <c r="A19" s="18" t="s">
        <v>160</v>
      </c>
      <c r="B19" s="18" t="s">
        <v>332</v>
      </c>
      <c r="C19" s="18" t="n">
        <v>302</v>
      </c>
      <c r="D19" s="18" t="n">
        <v>220</v>
      </c>
      <c r="E19" s="18" t="s">
        <v>194</v>
      </c>
      <c r="F19" s="18" t="s">
        <v>163</v>
      </c>
      <c r="G19" s="18" t="n">
        <f aca="false">IF(D19="",0,D19)</f>
        <v>220</v>
      </c>
    </row>
    <row r="20" customFormat="false" ht="15" hidden="false" customHeight="true" outlineLevel="0" collapsed="false">
      <c r="A20" s="18" t="s">
        <v>160</v>
      </c>
      <c r="B20" s="18" t="s">
        <v>333</v>
      </c>
      <c r="C20" s="18" t="n">
        <v>0</v>
      </c>
      <c r="D20" s="18" t="n">
        <v>49</v>
      </c>
      <c r="E20" s="18" t="s">
        <v>162</v>
      </c>
      <c r="F20" s="18" t="s">
        <v>163</v>
      </c>
      <c r="G20" s="18" t="n">
        <f aca="false">IF(D20="",0,D20)</f>
        <v>49</v>
      </c>
    </row>
    <row r="21" customFormat="false" ht="15" hidden="false" customHeight="true" outlineLevel="0" collapsed="false">
      <c r="A21" s="18" t="s">
        <v>160</v>
      </c>
      <c r="B21" s="18" t="s">
        <v>334</v>
      </c>
      <c r="C21" s="18" t="n">
        <v>0</v>
      </c>
      <c r="D21" s="18" t="n">
        <v>194</v>
      </c>
      <c r="E21" s="18" t="s">
        <v>166</v>
      </c>
      <c r="F21" s="18" t="s">
        <v>163</v>
      </c>
      <c r="G21" s="18" t="n">
        <f aca="false">IF(D21="",0,D21)</f>
        <v>194</v>
      </c>
    </row>
    <row r="22" customFormat="false" ht="15" hidden="false" customHeight="true" outlineLevel="0" collapsed="false">
      <c r="A22" s="18" t="s">
        <v>160</v>
      </c>
      <c r="B22" s="18" t="s">
        <v>335</v>
      </c>
      <c r="C22" s="18" t="n">
        <v>347</v>
      </c>
      <c r="D22" s="18" t="n">
        <v>11</v>
      </c>
      <c r="E22" s="18" t="s">
        <v>162</v>
      </c>
      <c r="F22" s="18" t="s">
        <v>163</v>
      </c>
      <c r="G22" s="18" t="n">
        <f aca="false">IF(D22="",0,D22)</f>
        <v>11</v>
      </c>
    </row>
    <row r="23" customFormat="false" ht="15" hidden="false" customHeight="true" outlineLevel="0" collapsed="false">
      <c r="A23" s="18" t="s">
        <v>160</v>
      </c>
      <c r="B23" s="18" t="s">
        <v>336</v>
      </c>
      <c r="C23" s="18" t="n">
        <v>473</v>
      </c>
      <c r="D23" s="18"/>
      <c r="E23" s="18" t="s">
        <v>187</v>
      </c>
      <c r="F23" s="18" t="s">
        <v>163</v>
      </c>
      <c r="G23" s="18" t="n">
        <f aca="false">IF(D23="",0,D23)</f>
        <v>0</v>
      </c>
    </row>
    <row r="24" customFormat="false" ht="15" hidden="false" customHeight="true" outlineLevel="0" collapsed="false">
      <c r="A24" s="18" t="s">
        <v>160</v>
      </c>
      <c r="B24" s="18" t="s">
        <v>337</v>
      </c>
      <c r="C24" s="18" t="n">
        <v>496</v>
      </c>
      <c r="D24" s="18" t="n">
        <v>211</v>
      </c>
      <c r="E24" s="18" t="s">
        <v>162</v>
      </c>
      <c r="F24" s="18" t="s">
        <v>163</v>
      </c>
      <c r="G24" s="18" t="n">
        <f aca="false">IF(D24="",0,D24)</f>
        <v>211</v>
      </c>
    </row>
    <row r="25" customFormat="false" ht="15" hidden="false" customHeight="true" outlineLevel="0" collapsed="false">
      <c r="A25" s="18" t="s">
        <v>160</v>
      </c>
      <c r="B25" s="18" t="s">
        <v>338</v>
      </c>
      <c r="C25" s="18" t="n">
        <v>486</v>
      </c>
      <c r="D25" s="18" t="n">
        <v>164</v>
      </c>
      <c r="E25" s="18" t="s">
        <v>187</v>
      </c>
      <c r="F25" s="18" t="s">
        <v>163</v>
      </c>
      <c r="G25" s="18" t="n">
        <f aca="false">IF(D25="",0,D25)</f>
        <v>164</v>
      </c>
    </row>
    <row r="26" customFormat="false" ht="15" hidden="false" customHeight="true" outlineLevel="0" collapsed="false">
      <c r="A26" s="18" t="s">
        <v>164</v>
      </c>
      <c r="B26" s="18" t="s">
        <v>327</v>
      </c>
      <c r="C26" s="18" t="n">
        <v>384</v>
      </c>
      <c r="D26" s="18" t="n">
        <v>200</v>
      </c>
      <c r="E26" s="18" t="s">
        <v>187</v>
      </c>
      <c r="F26" s="18" t="s">
        <v>163</v>
      </c>
      <c r="G26" s="18" t="n">
        <f aca="false">IF(D26="",0,D26)</f>
        <v>200</v>
      </c>
    </row>
    <row r="27" customFormat="false" ht="15" hidden="false" customHeight="true" outlineLevel="0" collapsed="false">
      <c r="A27" s="18" t="s">
        <v>164</v>
      </c>
      <c r="B27" s="18" t="s">
        <v>328</v>
      </c>
      <c r="C27" s="18" t="n">
        <v>426</v>
      </c>
      <c r="D27" s="18" t="n">
        <v>133</v>
      </c>
      <c r="E27" s="18" t="s">
        <v>162</v>
      </c>
      <c r="F27" s="18" t="s">
        <v>163</v>
      </c>
      <c r="G27" s="18" t="n">
        <f aca="false">IF(D27="",0,D27)</f>
        <v>133</v>
      </c>
    </row>
    <row r="28" customFormat="false" ht="15" hidden="false" customHeight="true" outlineLevel="0" collapsed="false">
      <c r="A28" s="18" t="s">
        <v>164</v>
      </c>
      <c r="B28" s="18" t="s">
        <v>329</v>
      </c>
      <c r="C28" s="18" t="n">
        <v>0</v>
      </c>
      <c r="D28" s="18"/>
      <c r="E28" s="18" t="s">
        <v>166</v>
      </c>
      <c r="F28" s="18" t="s">
        <v>163</v>
      </c>
      <c r="G28" s="18" t="n">
        <f aca="false">IF(D28="",0,D28)</f>
        <v>0</v>
      </c>
    </row>
    <row r="29" customFormat="false" ht="15" hidden="false" customHeight="true" outlineLevel="0" collapsed="false">
      <c r="A29" s="18" t="s">
        <v>164</v>
      </c>
      <c r="B29" s="18" t="s">
        <v>330</v>
      </c>
      <c r="C29" s="18" t="n">
        <v>687</v>
      </c>
      <c r="D29" s="18" t="n">
        <v>240</v>
      </c>
      <c r="E29" s="18" t="s">
        <v>187</v>
      </c>
      <c r="F29" s="18" t="s">
        <v>163</v>
      </c>
      <c r="G29" s="18" t="n">
        <f aca="false">IF(D29="",0,D29)</f>
        <v>240</v>
      </c>
    </row>
    <row r="30" customFormat="false" ht="15" hidden="false" customHeight="true" outlineLevel="0" collapsed="false">
      <c r="A30" s="18" t="s">
        <v>164</v>
      </c>
      <c r="B30" s="18" t="s">
        <v>331</v>
      </c>
      <c r="C30" s="18" t="n">
        <v>642</v>
      </c>
      <c r="D30" s="18" t="n">
        <v>128</v>
      </c>
      <c r="E30" s="18" t="s">
        <v>166</v>
      </c>
      <c r="F30" s="18" t="s">
        <v>163</v>
      </c>
      <c r="G30" s="18" t="n">
        <f aca="false">IF(D30="",0,D30)</f>
        <v>128</v>
      </c>
    </row>
    <row r="31" customFormat="false" ht="15" hidden="false" customHeight="true" outlineLevel="0" collapsed="false">
      <c r="A31" s="18" t="s">
        <v>164</v>
      </c>
      <c r="B31" s="18" t="s">
        <v>332</v>
      </c>
      <c r="C31" s="18" t="n">
        <v>641</v>
      </c>
      <c r="D31" s="18" t="n">
        <v>189</v>
      </c>
      <c r="E31" s="18" t="s">
        <v>187</v>
      </c>
      <c r="F31" s="18" t="s">
        <v>163</v>
      </c>
      <c r="G31" s="18" t="n">
        <f aca="false">IF(D31="",0,D31)</f>
        <v>189</v>
      </c>
    </row>
    <row r="32" customFormat="false" ht="15" hidden="false" customHeight="true" outlineLevel="0" collapsed="false">
      <c r="A32" s="18" t="s">
        <v>164</v>
      </c>
      <c r="B32" s="18" t="s">
        <v>333</v>
      </c>
      <c r="C32" s="18" t="n">
        <v>638</v>
      </c>
      <c r="D32" s="18" t="n">
        <v>53</v>
      </c>
      <c r="E32" s="18" t="s">
        <v>166</v>
      </c>
      <c r="F32" s="18" t="s">
        <v>163</v>
      </c>
      <c r="G32" s="18" t="n">
        <f aca="false">IF(D32="",0,D32)</f>
        <v>53</v>
      </c>
    </row>
    <row r="33" customFormat="false" ht="15" hidden="false" customHeight="true" outlineLevel="0" collapsed="false">
      <c r="A33" s="18" t="s">
        <v>164</v>
      </c>
      <c r="B33" s="18" t="s">
        <v>334</v>
      </c>
      <c r="C33" s="18" t="n">
        <v>0</v>
      </c>
      <c r="D33" s="18" t="n">
        <v>214</v>
      </c>
      <c r="E33" s="18" t="s">
        <v>166</v>
      </c>
      <c r="F33" s="18" t="s">
        <v>163</v>
      </c>
      <c r="G33" s="18" t="n">
        <f aca="false">IF(D33="",0,D33)</f>
        <v>214</v>
      </c>
    </row>
    <row r="34" customFormat="false" ht="15" hidden="false" customHeight="true" outlineLevel="0" collapsed="false">
      <c r="A34" s="18" t="s">
        <v>164</v>
      </c>
      <c r="B34" s="18" t="s">
        <v>335</v>
      </c>
      <c r="C34" s="18" t="n">
        <v>380</v>
      </c>
      <c r="D34" s="18" t="n">
        <v>154</v>
      </c>
      <c r="E34" s="18" t="s">
        <v>194</v>
      </c>
      <c r="F34" s="18" t="s">
        <v>163</v>
      </c>
      <c r="G34" s="18" t="n">
        <f aca="false">IF(D34="",0,D34)</f>
        <v>154</v>
      </c>
    </row>
    <row r="35" customFormat="false" ht="15" hidden="false" customHeight="true" outlineLevel="0" collapsed="false">
      <c r="A35" s="18" t="s">
        <v>164</v>
      </c>
      <c r="B35" s="18" t="s">
        <v>336</v>
      </c>
      <c r="C35" s="18" t="n">
        <v>667</v>
      </c>
      <c r="D35" s="18" t="n">
        <v>227</v>
      </c>
      <c r="E35" s="18" t="s">
        <v>166</v>
      </c>
      <c r="F35" s="18" t="s">
        <v>163</v>
      </c>
      <c r="G35" s="18" t="n">
        <f aca="false">IF(D35="",0,D35)</f>
        <v>227</v>
      </c>
    </row>
    <row r="36" customFormat="false" ht="15" hidden="false" customHeight="true" outlineLevel="0" collapsed="false">
      <c r="A36" s="18" t="s">
        <v>164</v>
      </c>
      <c r="B36" s="18" t="s">
        <v>337</v>
      </c>
      <c r="C36" s="18" t="n">
        <v>573</v>
      </c>
      <c r="D36" s="18"/>
      <c r="E36" s="18" t="s">
        <v>162</v>
      </c>
      <c r="F36" s="18" t="s">
        <v>163</v>
      </c>
      <c r="G36" s="18" t="n">
        <f aca="false">IF(D36="",0,D36)</f>
        <v>0</v>
      </c>
    </row>
    <row r="37" customFormat="false" ht="15" hidden="false" customHeight="true" outlineLevel="0" collapsed="false">
      <c r="A37" s="18" t="s">
        <v>164</v>
      </c>
      <c r="B37" s="18" t="s">
        <v>338</v>
      </c>
      <c r="C37" s="18" t="n">
        <v>0</v>
      </c>
      <c r="D37" s="18"/>
      <c r="E37" s="18" t="s">
        <v>166</v>
      </c>
      <c r="F37" s="18" t="s">
        <v>163</v>
      </c>
      <c r="G37" s="18" t="n">
        <f aca="false">IF(D37="",0,D37)</f>
        <v>0</v>
      </c>
    </row>
    <row r="38" customFormat="false" ht="15" hidden="false" customHeight="true" outlineLevel="0" collapsed="false">
      <c r="A38" s="18" t="s">
        <v>167</v>
      </c>
      <c r="B38" s="18" t="s">
        <v>327</v>
      </c>
      <c r="C38" s="18" t="n">
        <v>1841</v>
      </c>
      <c r="D38" s="18" t="n">
        <v>162</v>
      </c>
      <c r="E38" s="18" t="s">
        <v>187</v>
      </c>
      <c r="F38" s="18" t="s">
        <v>159</v>
      </c>
      <c r="G38" s="18" t="n">
        <f aca="false">IF(D38="",0,D38)</f>
        <v>162</v>
      </c>
    </row>
    <row r="39" customFormat="false" ht="15" hidden="false" customHeight="true" outlineLevel="0" collapsed="false">
      <c r="A39" s="18" t="s">
        <v>167</v>
      </c>
      <c r="B39" s="18" t="s">
        <v>328</v>
      </c>
      <c r="C39" s="18" t="n">
        <v>1872</v>
      </c>
      <c r="D39" s="18" t="n">
        <v>303</v>
      </c>
      <c r="E39" s="18" t="s">
        <v>194</v>
      </c>
      <c r="F39" s="18" t="s">
        <v>159</v>
      </c>
      <c r="G39" s="18" t="n">
        <f aca="false">IF(D39="",0,D39)</f>
        <v>303</v>
      </c>
    </row>
    <row r="40" customFormat="false" ht="15" hidden="false" customHeight="true" outlineLevel="0" collapsed="false">
      <c r="A40" s="18" t="s">
        <v>167</v>
      </c>
      <c r="B40" s="18" t="s">
        <v>329</v>
      </c>
      <c r="C40" s="18" t="n">
        <v>0</v>
      </c>
      <c r="D40" s="18" t="n">
        <v>168</v>
      </c>
      <c r="E40" s="18" t="s">
        <v>194</v>
      </c>
      <c r="F40" s="18" t="s">
        <v>159</v>
      </c>
      <c r="G40" s="18" t="n">
        <f aca="false">IF(D40="",0,D40)</f>
        <v>168</v>
      </c>
    </row>
    <row r="41" customFormat="false" ht="15" hidden="false" customHeight="true" outlineLevel="0" collapsed="false">
      <c r="A41" s="18" t="s">
        <v>167</v>
      </c>
      <c r="B41" s="18" t="s">
        <v>330</v>
      </c>
      <c r="C41" s="18" t="n">
        <v>2406</v>
      </c>
      <c r="D41" s="18" t="n">
        <v>158</v>
      </c>
      <c r="E41" s="18" t="s">
        <v>166</v>
      </c>
      <c r="F41" s="18" t="s">
        <v>159</v>
      </c>
      <c r="G41" s="18" t="n">
        <f aca="false">IF(D41="",0,D41)</f>
        <v>158</v>
      </c>
    </row>
    <row r="42" customFormat="false" ht="15" hidden="false" customHeight="true" outlineLevel="0" collapsed="false">
      <c r="A42" s="18" t="s">
        <v>167</v>
      </c>
      <c r="B42" s="18" t="s">
        <v>331</v>
      </c>
      <c r="C42" s="18" t="n">
        <v>2269</v>
      </c>
      <c r="D42" s="18"/>
      <c r="E42" s="18" t="s">
        <v>166</v>
      </c>
      <c r="F42" s="18" t="s">
        <v>159</v>
      </c>
      <c r="G42" s="18" t="n">
        <f aca="false">IF(D42="",0,D42)</f>
        <v>0</v>
      </c>
    </row>
    <row r="43" customFormat="false" ht="15" hidden="false" customHeight="true" outlineLevel="0" collapsed="false">
      <c r="A43" s="18" t="s">
        <v>167</v>
      </c>
      <c r="B43" s="18" t="s">
        <v>332</v>
      </c>
      <c r="C43" s="18" t="n">
        <v>2400</v>
      </c>
      <c r="D43" s="18" t="n">
        <v>260</v>
      </c>
      <c r="E43" s="18" t="s">
        <v>166</v>
      </c>
      <c r="F43" s="18" t="s">
        <v>159</v>
      </c>
      <c r="G43" s="18" t="n">
        <f aca="false">IF(D43="",0,D43)</f>
        <v>260</v>
      </c>
    </row>
    <row r="44" customFormat="false" ht="15" hidden="false" customHeight="true" outlineLevel="0" collapsed="false">
      <c r="A44" s="18" t="s">
        <v>167</v>
      </c>
      <c r="B44" s="18" t="s">
        <v>333</v>
      </c>
      <c r="C44" s="18" t="n">
        <v>1962</v>
      </c>
      <c r="D44" s="18" t="n">
        <v>18</v>
      </c>
      <c r="E44" s="18" t="s">
        <v>194</v>
      </c>
      <c r="F44" s="18" t="s">
        <v>159</v>
      </c>
      <c r="G44" s="18" t="n">
        <f aca="false">IF(D44="",0,D44)</f>
        <v>18</v>
      </c>
    </row>
    <row r="45" customFormat="false" ht="15" hidden="false" customHeight="true" outlineLevel="0" collapsed="false">
      <c r="A45" s="18" t="s">
        <v>167</v>
      </c>
      <c r="B45" s="18" t="s">
        <v>334</v>
      </c>
      <c r="C45" s="18" t="n">
        <v>1962</v>
      </c>
      <c r="D45" s="18"/>
      <c r="E45" s="18" t="s">
        <v>162</v>
      </c>
      <c r="F45" s="18" t="s">
        <v>159</v>
      </c>
      <c r="G45" s="18" t="n">
        <f aca="false">IF(D45="",0,D45)</f>
        <v>0</v>
      </c>
    </row>
    <row r="46" customFormat="false" ht="15" hidden="false" customHeight="true" outlineLevel="0" collapsed="false">
      <c r="A46" s="18" t="s">
        <v>167</v>
      </c>
      <c r="B46" s="18" t="s">
        <v>335</v>
      </c>
      <c r="C46" s="18" t="n">
        <v>2384</v>
      </c>
      <c r="D46" s="18" t="n">
        <v>286</v>
      </c>
      <c r="E46" s="18" t="s">
        <v>187</v>
      </c>
      <c r="F46" s="18" t="s">
        <v>159</v>
      </c>
      <c r="G46" s="18" t="n">
        <f aca="false">IF(D46="",0,D46)</f>
        <v>286</v>
      </c>
    </row>
    <row r="47" customFormat="false" ht="15" hidden="false" customHeight="true" outlineLevel="0" collapsed="false">
      <c r="A47" s="18" t="s">
        <v>167</v>
      </c>
      <c r="B47" s="18" t="s">
        <v>336</v>
      </c>
      <c r="C47" s="18" t="n">
        <v>1874</v>
      </c>
      <c r="D47" s="18" t="n">
        <v>21</v>
      </c>
      <c r="E47" s="18" t="s">
        <v>194</v>
      </c>
      <c r="F47" s="18" t="s">
        <v>159</v>
      </c>
      <c r="G47" s="18" t="n">
        <f aca="false">IF(D47="",0,D47)</f>
        <v>21</v>
      </c>
    </row>
    <row r="48" customFormat="false" ht="15" hidden="false" customHeight="true" outlineLevel="0" collapsed="false">
      <c r="A48" s="18" t="s">
        <v>167</v>
      </c>
      <c r="B48" s="18" t="s">
        <v>337</v>
      </c>
      <c r="C48" s="18" t="n">
        <v>1917</v>
      </c>
      <c r="D48" s="18" t="n">
        <v>39</v>
      </c>
      <c r="E48" s="18" t="s">
        <v>162</v>
      </c>
      <c r="F48" s="18" t="s">
        <v>159</v>
      </c>
      <c r="G48" s="18" t="n">
        <f aca="false">IF(D48="",0,D48)</f>
        <v>39</v>
      </c>
    </row>
    <row r="49" customFormat="false" ht="15" hidden="false" customHeight="true" outlineLevel="0" collapsed="false">
      <c r="A49" s="18" t="s">
        <v>167</v>
      </c>
      <c r="B49" s="18" t="s">
        <v>338</v>
      </c>
      <c r="C49" s="18" t="n">
        <v>1982</v>
      </c>
      <c r="D49" s="18" t="n">
        <v>222</v>
      </c>
      <c r="E49" s="18" t="s">
        <v>194</v>
      </c>
      <c r="F49" s="18" t="s">
        <v>159</v>
      </c>
      <c r="G49" s="18" t="n">
        <f aca="false">IF(D49="",0,D49)</f>
        <v>222</v>
      </c>
    </row>
    <row r="50" customFormat="false" ht="15" hidden="false" customHeight="true" outlineLevel="0" collapsed="false">
      <c r="A50" s="18" t="s">
        <v>171</v>
      </c>
      <c r="B50" s="18" t="s">
        <v>327</v>
      </c>
      <c r="C50" s="18" t="n">
        <v>768</v>
      </c>
      <c r="D50" s="18" t="n">
        <v>65</v>
      </c>
      <c r="E50" s="18" t="s">
        <v>166</v>
      </c>
      <c r="F50" s="18" t="s">
        <v>159</v>
      </c>
      <c r="G50" s="18" t="n">
        <f aca="false">IF(D50="",0,D50)</f>
        <v>65</v>
      </c>
    </row>
    <row r="51" customFormat="false" ht="15" hidden="false" customHeight="true" outlineLevel="0" collapsed="false">
      <c r="A51" s="18" t="s">
        <v>171</v>
      </c>
      <c r="B51" s="18" t="s">
        <v>328</v>
      </c>
      <c r="C51" s="18" t="n">
        <v>0</v>
      </c>
      <c r="D51" s="18" t="n">
        <v>18</v>
      </c>
      <c r="E51" s="18" t="s">
        <v>194</v>
      </c>
      <c r="F51" s="18" t="s">
        <v>159</v>
      </c>
      <c r="G51" s="18" t="n">
        <f aca="false">IF(D51="",0,D51)</f>
        <v>18</v>
      </c>
    </row>
    <row r="52" customFormat="false" ht="15" hidden="false" customHeight="true" outlineLevel="0" collapsed="false">
      <c r="A52" s="18" t="s">
        <v>171</v>
      </c>
      <c r="B52" s="18" t="s">
        <v>329</v>
      </c>
      <c r="C52" s="18" t="n">
        <v>965</v>
      </c>
      <c r="D52" s="18" t="n">
        <v>172</v>
      </c>
      <c r="E52" s="18" t="s">
        <v>166</v>
      </c>
      <c r="F52" s="18" t="s">
        <v>159</v>
      </c>
      <c r="G52" s="18" t="n">
        <f aca="false">IF(D52="",0,D52)</f>
        <v>172</v>
      </c>
    </row>
    <row r="53" customFormat="false" ht="15" hidden="false" customHeight="true" outlineLevel="0" collapsed="false">
      <c r="A53" s="18" t="s">
        <v>171</v>
      </c>
      <c r="B53" s="18" t="s">
        <v>330</v>
      </c>
      <c r="C53" s="18" t="n">
        <v>642</v>
      </c>
      <c r="D53" s="18" t="n">
        <v>233</v>
      </c>
      <c r="E53" s="18" t="s">
        <v>166</v>
      </c>
      <c r="F53" s="18" t="s">
        <v>159</v>
      </c>
      <c r="G53" s="18" t="n">
        <f aca="false">IF(D53="",0,D53)</f>
        <v>233</v>
      </c>
    </row>
    <row r="54" customFormat="false" ht="15" hidden="false" customHeight="true" outlineLevel="0" collapsed="false">
      <c r="A54" s="18" t="s">
        <v>171</v>
      </c>
      <c r="B54" s="18" t="s">
        <v>331</v>
      </c>
      <c r="C54" s="18" t="n">
        <v>585</v>
      </c>
      <c r="D54" s="18" t="n">
        <v>208</v>
      </c>
      <c r="E54" s="18" t="s">
        <v>166</v>
      </c>
      <c r="F54" s="18" t="s">
        <v>159</v>
      </c>
      <c r="G54" s="18" t="n">
        <f aca="false">IF(D54="",0,D54)</f>
        <v>208</v>
      </c>
    </row>
    <row r="55" customFormat="false" ht="15" hidden="false" customHeight="true" outlineLevel="0" collapsed="false">
      <c r="A55" s="18" t="s">
        <v>171</v>
      </c>
      <c r="B55" s="18" t="s">
        <v>332</v>
      </c>
      <c r="C55" s="18" t="n">
        <v>728</v>
      </c>
      <c r="D55" s="18" t="n">
        <v>42</v>
      </c>
      <c r="E55" s="18" t="s">
        <v>194</v>
      </c>
      <c r="F55" s="18" t="s">
        <v>159</v>
      </c>
      <c r="G55" s="18" t="n">
        <f aca="false">IF(D55="",0,D55)</f>
        <v>42</v>
      </c>
    </row>
    <row r="56" customFormat="false" ht="15" hidden="false" customHeight="true" outlineLevel="0" collapsed="false">
      <c r="A56" s="18" t="s">
        <v>171</v>
      </c>
      <c r="B56" s="18" t="s">
        <v>333</v>
      </c>
      <c r="C56" s="18" t="n">
        <v>800</v>
      </c>
      <c r="D56" s="18" t="n">
        <v>256</v>
      </c>
      <c r="E56" s="18" t="s">
        <v>187</v>
      </c>
      <c r="F56" s="18" t="s">
        <v>159</v>
      </c>
      <c r="G56" s="18" t="n">
        <f aca="false">IF(D56="",0,D56)</f>
        <v>256</v>
      </c>
    </row>
    <row r="57" customFormat="false" ht="15" hidden="false" customHeight="true" outlineLevel="0" collapsed="false">
      <c r="A57" s="18" t="s">
        <v>171</v>
      </c>
      <c r="B57" s="18" t="s">
        <v>334</v>
      </c>
      <c r="C57" s="18" t="n">
        <v>939</v>
      </c>
      <c r="D57" s="18"/>
      <c r="E57" s="18" t="s">
        <v>166</v>
      </c>
      <c r="F57" s="18" t="s">
        <v>159</v>
      </c>
      <c r="G57" s="18" t="n">
        <f aca="false">IF(D57="",0,D57)</f>
        <v>0</v>
      </c>
    </row>
    <row r="58" customFormat="false" ht="15" hidden="false" customHeight="true" outlineLevel="0" collapsed="false">
      <c r="A58" s="18" t="s">
        <v>171</v>
      </c>
      <c r="B58" s="18" t="s">
        <v>335</v>
      </c>
      <c r="C58" s="18" t="n">
        <v>634</v>
      </c>
      <c r="D58" s="18" t="n">
        <v>297</v>
      </c>
      <c r="E58" s="18" t="s">
        <v>187</v>
      </c>
      <c r="F58" s="18" t="s">
        <v>159</v>
      </c>
      <c r="G58" s="18" t="n">
        <f aca="false">IF(D58="",0,D58)</f>
        <v>297</v>
      </c>
    </row>
    <row r="59" customFormat="false" ht="15" hidden="false" customHeight="true" outlineLevel="0" collapsed="false">
      <c r="A59" s="18" t="s">
        <v>171</v>
      </c>
      <c r="B59" s="18" t="s">
        <v>336</v>
      </c>
      <c r="C59" s="18" t="n">
        <v>669</v>
      </c>
      <c r="D59" s="18" t="n">
        <v>254</v>
      </c>
      <c r="E59" s="18" t="s">
        <v>162</v>
      </c>
      <c r="F59" s="18" t="s">
        <v>159</v>
      </c>
      <c r="G59" s="18" t="n">
        <f aca="false">IF(D59="",0,D59)</f>
        <v>254</v>
      </c>
    </row>
    <row r="60" customFormat="false" ht="15" hidden="false" customHeight="true" outlineLevel="0" collapsed="false">
      <c r="A60" s="18" t="s">
        <v>171</v>
      </c>
      <c r="B60" s="18" t="s">
        <v>337</v>
      </c>
      <c r="C60" s="18" t="n">
        <v>877</v>
      </c>
      <c r="D60" s="18" t="n">
        <v>231</v>
      </c>
      <c r="E60" s="18" t="s">
        <v>187</v>
      </c>
      <c r="F60" s="18" t="s">
        <v>159</v>
      </c>
      <c r="G60" s="18" t="n">
        <f aca="false">IF(D60="",0,D60)</f>
        <v>231</v>
      </c>
    </row>
    <row r="61" customFormat="false" ht="15" hidden="false" customHeight="true" outlineLevel="0" collapsed="false">
      <c r="A61" s="18" t="s">
        <v>171</v>
      </c>
      <c r="B61" s="18" t="s">
        <v>338</v>
      </c>
      <c r="C61" s="18" t="n">
        <v>731</v>
      </c>
      <c r="D61" s="18" t="n">
        <v>267</v>
      </c>
      <c r="E61" s="18" t="s">
        <v>194</v>
      </c>
      <c r="F61" s="18" t="s">
        <v>159</v>
      </c>
      <c r="G61" s="18" t="n">
        <f aca="false">IF(D61="",0,D61)</f>
        <v>267</v>
      </c>
    </row>
    <row r="62" customFormat="false" ht="15" hidden="false" customHeight="true" outlineLevel="0" collapsed="false">
      <c r="A62" s="18" t="s">
        <v>173</v>
      </c>
      <c r="B62" s="18" t="s">
        <v>327</v>
      </c>
      <c r="C62" s="18" t="n">
        <v>356</v>
      </c>
      <c r="D62" s="18"/>
      <c r="E62" s="18" t="s">
        <v>162</v>
      </c>
      <c r="F62" s="18" t="s">
        <v>159</v>
      </c>
      <c r="G62" s="18" t="n">
        <f aca="false">IF(D62="",0,D62)</f>
        <v>0</v>
      </c>
    </row>
    <row r="63" customFormat="false" ht="15" hidden="false" customHeight="true" outlineLevel="0" collapsed="false">
      <c r="A63" s="18" t="s">
        <v>173</v>
      </c>
      <c r="B63" s="18" t="s">
        <v>328</v>
      </c>
      <c r="C63" s="18" t="n">
        <v>304</v>
      </c>
      <c r="D63" s="18" t="n">
        <v>131</v>
      </c>
      <c r="E63" s="18" t="s">
        <v>194</v>
      </c>
      <c r="F63" s="18" t="s">
        <v>159</v>
      </c>
      <c r="G63" s="18" t="n">
        <f aca="false">IF(D63="",0,D63)</f>
        <v>131</v>
      </c>
    </row>
    <row r="64" customFormat="false" ht="15" hidden="false" customHeight="true" outlineLevel="0" collapsed="false">
      <c r="A64" s="18" t="s">
        <v>173</v>
      </c>
      <c r="B64" s="18" t="s">
        <v>329</v>
      </c>
      <c r="C64" s="18" t="n">
        <v>247</v>
      </c>
      <c r="D64" s="18" t="n">
        <v>7</v>
      </c>
      <c r="E64" s="18" t="s">
        <v>194</v>
      </c>
      <c r="F64" s="18" t="s">
        <v>159</v>
      </c>
      <c r="G64" s="18" t="n">
        <f aca="false">IF(D64="",0,D64)</f>
        <v>7</v>
      </c>
    </row>
    <row r="65" customFormat="false" ht="15" hidden="false" customHeight="true" outlineLevel="0" collapsed="false">
      <c r="A65" s="18" t="s">
        <v>173</v>
      </c>
      <c r="B65" s="18" t="s">
        <v>330</v>
      </c>
      <c r="C65" s="18" t="n">
        <v>245</v>
      </c>
      <c r="D65" s="18" t="n">
        <v>111</v>
      </c>
      <c r="E65" s="18" t="s">
        <v>166</v>
      </c>
      <c r="F65" s="18" t="s">
        <v>159</v>
      </c>
      <c r="G65" s="18" t="n">
        <f aca="false">IF(D65="",0,D65)</f>
        <v>111</v>
      </c>
    </row>
    <row r="66" customFormat="false" ht="15" hidden="false" customHeight="true" outlineLevel="0" collapsed="false">
      <c r="A66" s="18" t="s">
        <v>173</v>
      </c>
      <c r="B66" s="18" t="s">
        <v>331</v>
      </c>
      <c r="C66" s="18" t="n">
        <v>0</v>
      </c>
      <c r="D66" s="18"/>
      <c r="E66" s="18" t="s">
        <v>187</v>
      </c>
      <c r="F66" s="18" t="s">
        <v>159</v>
      </c>
      <c r="G66" s="18" t="n">
        <f aca="false">IF(D66="",0,D66)</f>
        <v>0</v>
      </c>
    </row>
    <row r="67" customFormat="false" ht="15" hidden="false" customHeight="true" outlineLevel="0" collapsed="false">
      <c r="A67" s="18" t="s">
        <v>173</v>
      </c>
      <c r="B67" s="18" t="s">
        <v>332</v>
      </c>
      <c r="C67" s="18" t="n">
        <v>274</v>
      </c>
      <c r="D67" s="18" t="n">
        <v>88</v>
      </c>
      <c r="E67" s="18" t="s">
        <v>162</v>
      </c>
      <c r="F67" s="18" t="s">
        <v>159</v>
      </c>
      <c r="G67" s="18" t="n">
        <f aca="false">IF(D67="",0,D67)</f>
        <v>88</v>
      </c>
    </row>
    <row r="68" customFormat="false" ht="15" hidden="false" customHeight="true" outlineLevel="0" collapsed="false">
      <c r="A68" s="18" t="s">
        <v>173</v>
      </c>
      <c r="B68" s="18" t="s">
        <v>333</v>
      </c>
      <c r="C68" s="18" t="n">
        <v>287</v>
      </c>
      <c r="D68" s="18" t="n">
        <v>20</v>
      </c>
      <c r="E68" s="18" t="s">
        <v>162</v>
      </c>
      <c r="F68" s="18" t="s">
        <v>159</v>
      </c>
      <c r="G68" s="18" t="n">
        <f aca="false">IF(D68="",0,D68)</f>
        <v>20</v>
      </c>
    </row>
    <row r="69" customFormat="false" ht="15" hidden="false" customHeight="true" outlineLevel="0" collapsed="false">
      <c r="A69" s="18" t="s">
        <v>173</v>
      </c>
      <c r="B69" s="18" t="s">
        <v>334</v>
      </c>
      <c r="C69" s="18" t="n">
        <v>222</v>
      </c>
      <c r="D69" s="18" t="n">
        <v>129</v>
      </c>
      <c r="E69" s="18" t="s">
        <v>166</v>
      </c>
      <c r="F69" s="18" t="s">
        <v>159</v>
      </c>
      <c r="G69" s="18" t="n">
        <f aca="false">IF(D69="",0,D69)</f>
        <v>129</v>
      </c>
    </row>
    <row r="70" customFormat="false" ht="15" hidden="false" customHeight="true" outlineLevel="0" collapsed="false">
      <c r="A70" s="18" t="s">
        <v>173</v>
      </c>
      <c r="B70" s="18" t="s">
        <v>335</v>
      </c>
      <c r="C70" s="18" t="n">
        <v>324</v>
      </c>
      <c r="D70" s="18" t="n">
        <v>118</v>
      </c>
      <c r="E70" s="18" t="s">
        <v>166</v>
      </c>
      <c r="F70" s="18" t="s">
        <v>159</v>
      </c>
      <c r="G70" s="18" t="n">
        <f aca="false">IF(D70="",0,D70)</f>
        <v>118</v>
      </c>
    </row>
    <row r="71" customFormat="false" ht="15" hidden="false" customHeight="true" outlineLevel="0" collapsed="false">
      <c r="A71" s="18" t="s">
        <v>173</v>
      </c>
      <c r="B71" s="18" t="s">
        <v>336</v>
      </c>
      <c r="C71" s="18" t="n">
        <v>272</v>
      </c>
      <c r="D71" s="18" t="n">
        <v>6</v>
      </c>
      <c r="E71" s="18" t="s">
        <v>194</v>
      </c>
      <c r="F71" s="18" t="s">
        <v>159</v>
      </c>
      <c r="G71" s="18" t="n">
        <f aca="false">IF(D71="",0,D71)</f>
        <v>6</v>
      </c>
    </row>
    <row r="72" customFormat="false" ht="15" hidden="false" customHeight="true" outlineLevel="0" collapsed="false">
      <c r="A72" s="18" t="s">
        <v>173</v>
      </c>
      <c r="B72" s="18" t="s">
        <v>337</v>
      </c>
      <c r="C72" s="18" t="n">
        <v>386</v>
      </c>
      <c r="D72" s="18" t="n">
        <v>65</v>
      </c>
      <c r="E72" s="18" t="s">
        <v>194</v>
      </c>
      <c r="F72" s="18" t="s">
        <v>159</v>
      </c>
      <c r="G72" s="18" t="n">
        <f aca="false">IF(D72="",0,D72)</f>
        <v>65</v>
      </c>
    </row>
    <row r="73" customFormat="false" ht="15" hidden="false" customHeight="true" outlineLevel="0" collapsed="false">
      <c r="A73" s="18" t="s">
        <v>173</v>
      </c>
      <c r="B73" s="18" t="s">
        <v>338</v>
      </c>
      <c r="C73" s="18" t="n">
        <v>308</v>
      </c>
      <c r="D73" s="18" t="n">
        <v>3</v>
      </c>
      <c r="E73" s="18" t="s">
        <v>162</v>
      </c>
      <c r="F73" s="18" t="s">
        <v>159</v>
      </c>
      <c r="G73" s="18" t="n">
        <f aca="false">IF(D73="",0,D73)</f>
        <v>3</v>
      </c>
    </row>
    <row r="74" customFormat="false" ht="15" hidden="false" customHeight="true" outlineLevel="0" collapsed="false">
      <c r="A74" s="18" t="s">
        <v>178</v>
      </c>
      <c r="B74" s="18" t="s">
        <v>327</v>
      </c>
      <c r="C74" s="18" t="n">
        <v>866</v>
      </c>
      <c r="D74" s="18" t="n">
        <v>107</v>
      </c>
      <c r="E74" s="18" t="s">
        <v>166</v>
      </c>
      <c r="F74" s="18" t="s">
        <v>180</v>
      </c>
      <c r="G74" s="18" t="n">
        <f aca="false">IF(D74="",0,D74)</f>
        <v>107</v>
      </c>
    </row>
    <row r="75" customFormat="false" ht="15" hidden="false" customHeight="true" outlineLevel="0" collapsed="false">
      <c r="A75" s="18" t="s">
        <v>178</v>
      </c>
      <c r="B75" s="18" t="s">
        <v>328</v>
      </c>
      <c r="C75" s="18" t="n">
        <v>830</v>
      </c>
      <c r="D75" s="18"/>
      <c r="E75" s="18" t="s">
        <v>187</v>
      </c>
      <c r="F75" s="18" t="s">
        <v>180</v>
      </c>
      <c r="G75" s="18" t="n">
        <f aca="false">IF(D75="",0,D75)</f>
        <v>0</v>
      </c>
    </row>
    <row r="76" customFormat="false" ht="15" hidden="false" customHeight="true" outlineLevel="0" collapsed="false">
      <c r="A76" s="18" t="s">
        <v>178</v>
      </c>
      <c r="B76" s="18" t="s">
        <v>329</v>
      </c>
      <c r="C76" s="18" t="n">
        <v>750</v>
      </c>
      <c r="D76" s="18" t="n">
        <v>311</v>
      </c>
      <c r="E76" s="18" t="s">
        <v>166</v>
      </c>
      <c r="F76" s="18" t="s">
        <v>180</v>
      </c>
      <c r="G76" s="18" t="n">
        <f aca="false">IF(D76="",0,D76)</f>
        <v>311</v>
      </c>
    </row>
    <row r="77" customFormat="false" ht="15" hidden="false" customHeight="true" outlineLevel="0" collapsed="false">
      <c r="A77" s="18" t="s">
        <v>178</v>
      </c>
      <c r="B77" s="18" t="s">
        <v>330</v>
      </c>
      <c r="C77" s="18" t="n">
        <v>625</v>
      </c>
      <c r="D77" s="18" t="n">
        <v>212</v>
      </c>
      <c r="E77" s="18" t="s">
        <v>166</v>
      </c>
      <c r="F77" s="18" t="s">
        <v>180</v>
      </c>
      <c r="G77" s="18" t="n">
        <f aca="false">IF(D77="",0,D77)</f>
        <v>212</v>
      </c>
    </row>
    <row r="78" customFormat="false" ht="15" hidden="false" customHeight="true" outlineLevel="0" collapsed="false">
      <c r="A78" s="18" t="s">
        <v>178</v>
      </c>
      <c r="B78" s="18" t="s">
        <v>331</v>
      </c>
      <c r="C78" s="18" t="n">
        <v>983</v>
      </c>
      <c r="D78" s="18" t="n">
        <v>208</v>
      </c>
      <c r="E78" s="18" t="s">
        <v>166</v>
      </c>
      <c r="F78" s="18" t="s">
        <v>180</v>
      </c>
      <c r="G78" s="18" t="n">
        <f aca="false">IF(D78="",0,D78)</f>
        <v>208</v>
      </c>
    </row>
    <row r="79" customFormat="false" ht="15" hidden="false" customHeight="true" outlineLevel="0" collapsed="false">
      <c r="A79" s="18" t="s">
        <v>178</v>
      </c>
      <c r="B79" s="18" t="s">
        <v>332</v>
      </c>
      <c r="C79" s="18" t="n">
        <v>0</v>
      </c>
      <c r="D79" s="18" t="n">
        <v>210</v>
      </c>
      <c r="E79" s="18" t="s">
        <v>194</v>
      </c>
      <c r="F79" s="18" t="s">
        <v>180</v>
      </c>
      <c r="G79" s="18" t="n">
        <f aca="false">IF(D79="",0,D79)</f>
        <v>210</v>
      </c>
    </row>
    <row r="80" customFormat="false" ht="15" hidden="false" customHeight="true" outlineLevel="0" collapsed="false">
      <c r="A80" s="18" t="s">
        <v>178</v>
      </c>
      <c r="B80" s="18" t="s">
        <v>333</v>
      </c>
      <c r="C80" s="18" t="n">
        <v>946</v>
      </c>
      <c r="D80" s="18" t="n">
        <v>147</v>
      </c>
      <c r="E80" s="18" t="s">
        <v>187</v>
      </c>
      <c r="F80" s="18" t="s">
        <v>180</v>
      </c>
      <c r="G80" s="18" t="n">
        <f aca="false">IF(D80="",0,D80)</f>
        <v>147</v>
      </c>
    </row>
    <row r="81" customFormat="false" ht="15" hidden="false" customHeight="true" outlineLevel="0" collapsed="false">
      <c r="A81" s="18" t="s">
        <v>178</v>
      </c>
      <c r="B81" s="18" t="s">
        <v>334</v>
      </c>
      <c r="C81" s="18" t="n">
        <v>928</v>
      </c>
      <c r="D81" s="18" t="n">
        <v>278</v>
      </c>
      <c r="E81" s="18" t="s">
        <v>187</v>
      </c>
      <c r="F81" s="18" t="s">
        <v>180</v>
      </c>
      <c r="G81" s="18" t="n">
        <f aca="false">IF(D81="",0,D81)</f>
        <v>278</v>
      </c>
    </row>
    <row r="82" customFormat="false" ht="15" hidden="false" customHeight="true" outlineLevel="0" collapsed="false">
      <c r="A82" s="18" t="s">
        <v>178</v>
      </c>
      <c r="B82" s="18" t="s">
        <v>335</v>
      </c>
      <c r="C82" s="18" t="n">
        <v>606</v>
      </c>
      <c r="D82" s="18" t="n">
        <v>171</v>
      </c>
      <c r="E82" s="18" t="s">
        <v>194</v>
      </c>
      <c r="F82" s="18" t="s">
        <v>180</v>
      </c>
      <c r="G82" s="18" t="n">
        <f aca="false">IF(D82="",0,D82)</f>
        <v>171</v>
      </c>
    </row>
    <row r="83" customFormat="false" ht="15" hidden="false" customHeight="true" outlineLevel="0" collapsed="false">
      <c r="A83" s="18" t="s">
        <v>178</v>
      </c>
      <c r="B83" s="18" t="s">
        <v>336</v>
      </c>
      <c r="C83" s="18" t="n">
        <v>956</v>
      </c>
      <c r="D83" s="18" t="n">
        <v>34</v>
      </c>
      <c r="E83" s="18" t="s">
        <v>162</v>
      </c>
      <c r="F83" s="18" t="s">
        <v>180</v>
      </c>
      <c r="G83" s="18" t="n">
        <f aca="false">IF(D83="",0,D83)</f>
        <v>34</v>
      </c>
    </row>
    <row r="84" customFormat="false" ht="15" hidden="false" customHeight="true" outlineLevel="0" collapsed="false">
      <c r="A84" s="18" t="s">
        <v>178</v>
      </c>
      <c r="B84" s="18" t="s">
        <v>337</v>
      </c>
      <c r="C84" s="18" t="n">
        <v>780</v>
      </c>
      <c r="D84" s="18" t="n">
        <v>275</v>
      </c>
      <c r="E84" s="18" t="s">
        <v>194</v>
      </c>
      <c r="F84" s="18" t="s">
        <v>180</v>
      </c>
      <c r="G84" s="18" t="n">
        <f aca="false">IF(D84="",0,D84)</f>
        <v>275</v>
      </c>
    </row>
    <row r="85" customFormat="false" ht="15" hidden="false" customHeight="true" outlineLevel="0" collapsed="false">
      <c r="A85" s="18" t="s">
        <v>178</v>
      </c>
      <c r="B85" s="18" t="s">
        <v>338</v>
      </c>
      <c r="C85" s="18" t="n">
        <v>562</v>
      </c>
      <c r="D85" s="18" t="n">
        <v>199</v>
      </c>
      <c r="E85" s="18" t="s">
        <v>166</v>
      </c>
      <c r="F85" s="18" t="s">
        <v>180</v>
      </c>
      <c r="G85" s="18" t="n">
        <f aca="false">IF(D85="",0,D85)</f>
        <v>199</v>
      </c>
    </row>
    <row r="86" customFormat="false" ht="15" hidden="false" customHeight="true" outlineLevel="0" collapsed="false">
      <c r="A86" s="18" t="s">
        <v>181</v>
      </c>
      <c r="B86" s="18" t="s">
        <v>327</v>
      </c>
      <c r="C86" s="18" t="n">
        <v>206</v>
      </c>
      <c r="D86" s="18" t="n">
        <v>138</v>
      </c>
      <c r="E86" s="18" t="s">
        <v>194</v>
      </c>
      <c r="F86" s="18" t="s">
        <v>180</v>
      </c>
      <c r="G86" s="18" t="n">
        <f aca="false">IF(D86="",0,D86)</f>
        <v>138</v>
      </c>
    </row>
    <row r="87" customFormat="false" ht="15" hidden="false" customHeight="true" outlineLevel="0" collapsed="false">
      <c r="A87" s="18" t="s">
        <v>181</v>
      </c>
      <c r="B87" s="18" t="s">
        <v>328</v>
      </c>
      <c r="C87" s="18" t="n">
        <v>0</v>
      </c>
      <c r="D87" s="18" t="n">
        <v>94</v>
      </c>
      <c r="E87" s="18" t="s">
        <v>166</v>
      </c>
      <c r="F87" s="18" t="s">
        <v>180</v>
      </c>
      <c r="G87" s="18" t="n">
        <f aca="false">IF(D87="",0,D87)</f>
        <v>94</v>
      </c>
    </row>
    <row r="88" customFormat="false" ht="15" hidden="false" customHeight="true" outlineLevel="0" collapsed="false">
      <c r="A88" s="18" t="s">
        <v>181</v>
      </c>
      <c r="B88" s="18" t="s">
        <v>329</v>
      </c>
      <c r="C88" s="18" t="n">
        <v>0</v>
      </c>
      <c r="D88" s="18" t="n">
        <v>55</v>
      </c>
      <c r="E88" s="18" t="s">
        <v>166</v>
      </c>
      <c r="F88" s="18" t="s">
        <v>180</v>
      </c>
      <c r="G88" s="18" t="n">
        <f aca="false">IF(D88="",0,D88)</f>
        <v>55</v>
      </c>
    </row>
    <row r="89" customFormat="false" ht="15" hidden="false" customHeight="true" outlineLevel="0" collapsed="false">
      <c r="A89" s="18" t="s">
        <v>181</v>
      </c>
      <c r="B89" s="18" t="s">
        <v>330</v>
      </c>
      <c r="C89" s="18" t="n">
        <v>191</v>
      </c>
      <c r="D89" s="18" t="n">
        <v>45</v>
      </c>
      <c r="E89" s="18" t="s">
        <v>187</v>
      </c>
      <c r="F89" s="18" t="s">
        <v>180</v>
      </c>
      <c r="G89" s="18" t="n">
        <f aca="false">IF(D89="",0,D89)</f>
        <v>45</v>
      </c>
    </row>
    <row r="90" customFormat="false" ht="15" hidden="false" customHeight="true" outlineLevel="0" collapsed="false">
      <c r="A90" s="18" t="s">
        <v>181</v>
      </c>
      <c r="B90" s="18" t="s">
        <v>331</v>
      </c>
      <c r="C90" s="18" t="n">
        <v>253</v>
      </c>
      <c r="D90" s="18" t="n">
        <v>133</v>
      </c>
      <c r="E90" s="18" t="s">
        <v>162</v>
      </c>
      <c r="F90" s="18" t="s">
        <v>180</v>
      </c>
      <c r="G90" s="18" t="n">
        <f aca="false">IF(D90="",0,D90)</f>
        <v>133</v>
      </c>
    </row>
    <row r="91" customFormat="false" ht="15" hidden="false" customHeight="true" outlineLevel="0" collapsed="false">
      <c r="A91" s="18" t="s">
        <v>181</v>
      </c>
      <c r="B91" s="18" t="s">
        <v>332</v>
      </c>
      <c r="C91" s="18" t="n">
        <v>247</v>
      </c>
      <c r="D91" s="18" t="n">
        <v>43</v>
      </c>
      <c r="E91" s="18" t="s">
        <v>166</v>
      </c>
      <c r="F91" s="18" t="s">
        <v>180</v>
      </c>
      <c r="G91" s="18" t="n">
        <f aca="false">IF(D91="",0,D91)</f>
        <v>43</v>
      </c>
    </row>
    <row r="92" customFormat="false" ht="15" hidden="false" customHeight="true" outlineLevel="0" collapsed="false">
      <c r="A92" s="18" t="s">
        <v>181</v>
      </c>
      <c r="B92" s="18" t="s">
        <v>333</v>
      </c>
      <c r="C92" s="18" t="n">
        <v>194</v>
      </c>
      <c r="D92" s="18" t="n">
        <v>88</v>
      </c>
      <c r="E92" s="18" t="s">
        <v>187</v>
      </c>
      <c r="F92" s="18" t="s">
        <v>180</v>
      </c>
      <c r="G92" s="18" t="n">
        <f aca="false">IF(D92="",0,D92)</f>
        <v>88</v>
      </c>
    </row>
    <row r="93" customFormat="false" ht="15" hidden="false" customHeight="true" outlineLevel="0" collapsed="false">
      <c r="A93" s="18" t="s">
        <v>181</v>
      </c>
      <c r="B93" s="18" t="s">
        <v>334</v>
      </c>
      <c r="C93" s="18" t="n">
        <v>164</v>
      </c>
      <c r="D93" s="18" t="n">
        <v>158</v>
      </c>
      <c r="E93" s="18" t="s">
        <v>187</v>
      </c>
      <c r="F93" s="18" t="s">
        <v>180</v>
      </c>
      <c r="G93" s="18" t="n">
        <f aca="false">IF(D93="",0,D93)</f>
        <v>158</v>
      </c>
    </row>
    <row r="94" customFormat="false" ht="15" hidden="false" customHeight="true" outlineLevel="0" collapsed="false">
      <c r="A94" s="18" t="s">
        <v>181</v>
      </c>
      <c r="B94" s="18" t="s">
        <v>335</v>
      </c>
      <c r="C94" s="18" t="n">
        <v>159</v>
      </c>
      <c r="D94" s="18"/>
      <c r="E94" s="18" t="s">
        <v>162</v>
      </c>
      <c r="F94" s="18" t="s">
        <v>180</v>
      </c>
      <c r="G94" s="18" t="n">
        <f aca="false">IF(D94="",0,D94)</f>
        <v>0</v>
      </c>
    </row>
    <row r="95" customFormat="false" ht="15" hidden="false" customHeight="true" outlineLevel="0" collapsed="false">
      <c r="A95" s="18" t="s">
        <v>181</v>
      </c>
      <c r="B95" s="18" t="s">
        <v>336</v>
      </c>
      <c r="C95" s="18" t="n">
        <v>217</v>
      </c>
      <c r="D95" s="18" t="n">
        <v>50</v>
      </c>
      <c r="E95" s="18" t="s">
        <v>187</v>
      </c>
      <c r="F95" s="18" t="s">
        <v>180</v>
      </c>
      <c r="G95" s="18" t="n">
        <f aca="false">IF(D95="",0,D95)</f>
        <v>50</v>
      </c>
    </row>
    <row r="96" customFormat="false" ht="15" hidden="false" customHeight="true" outlineLevel="0" collapsed="false">
      <c r="A96" s="18" t="s">
        <v>181</v>
      </c>
      <c r="B96" s="18" t="s">
        <v>337</v>
      </c>
      <c r="C96" s="18" t="n">
        <v>0</v>
      </c>
      <c r="D96" s="18" t="n">
        <v>52</v>
      </c>
      <c r="E96" s="18" t="s">
        <v>166</v>
      </c>
      <c r="F96" s="18" t="s">
        <v>180</v>
      </c>
      <c r="G96" s="18" t="n">
        <f aca="false">IF(D96="",0,D96)</f>
        <v>52</v>
      </c>
    </row>
    <row r="97" customFormat="false" ht="15" hidden="false" customHeight="true" outlineLevel="0" collapsed="false">
      <c r="A97" s="18" t="s">
        <v>181</v>
      </c>
      <c r="B97" s="18" t="s">
        <v>338</v>
      </c>
      <c r="C97" s="18" t="n">
        <v>0</v>
      </c>
      <c r="D97" s="18" t="n">
        <v>0</v>
      </c>
      <c r="E97" s="18" t="s">
        <v>194</v>
      </c>
      <c r="F97" s="18" t="s">
        <v>180</v>
      </c>
      <c r="G97" s="18" t="n">
        <f aca="false">IF(D97="",0,D97)</f>
        <v>0</v>
      </c>
    </row>
    <row r="98" customFormat="false" ht="15" hidden="false" customHeight="true" outlineLevel="0" collapsed="false">
      <c r="A98" s="18" t="s">
        <v>183</v>
      </c>
      <c r="B98" s="18" t="s">
        <v>327</v>
      </c>
      <c r="C98" s="18" t="n">
        <v>462</v>
      </c>
      <c r="D98" s="18" t="n">
        <v>5</v>
      </c>
      <c r="E98" s="18" t="s">
        <v>187</v>
      </c>
      <c r="F98" s="18" t="s">
        <v>159</v>
      </c>
      <c r="G98" s="18" t="n">
        <f aca="false">IF(D98="",0,D98)</f>
        <v>5</v>
      </c>
    </row>
    <row r="99" customFormat="false" ht="15" hidden="false" customHeight="true" outlineLevel="0" collapsed="false">
      <c r="A99" s="18" t="s">
        <v>183</v>
      </c>
      <c r="B99" s="18" t="s">
        <v>328</v>
      </c>
      <c r="C99" s="18" t="n">
        <v>515</v>
      </c>
      <c r="D99" s="18" t="n">
        <v>51</v>
      </c>
      <c r="E99" s="18" t="s">
        <v>166</v>
      </c>
      <c r="F99" s="18" t="s">
        <v>159</v>
      </c>
      <c r="G99" s="18" t="n">
        <f aca="false">IF(D99="",0,D99)</f>
        <v>51</v>
      </c>
    </row>
    <row r="100" customFormat="false" ht="15" hidden="false" customHeight="true" outlineLevel="0" collapsed="false">
      <c r="A100" s="18" t="s">
        <v>183</v>
      </c>
      <c r="B100" s="18" t="s">
        <v>329</v>
      </c>
      <c r="C100" s="18" t="n">
        <v>436</v>
      </c>
      <c r="D100" s="18" t="n">
        <v>7</v>
      </c>
      <c r="E100" s="18" t="s">
        <v>166</v>
      </c>
      <c r="F100" s="18" t="s">
        <v>159</v>
      </c>
      <c r="G100" s="18" t="n">
        <f aca="false">IF(D100="",0,D100)</f>
        <v>7</v>
      </c>
    </row>
    <row r="101" customFormat="false" ht="15" hidden="false" customHeight="true" outlineLevel="0" collapsed="false">
      <c r="A101" s="18" t="s">
        <v>183</v>
      </c>
      <c r="B101" s="18" t="s">
        <v>330</v>
      </c>
      <c r="C101" s="18" t="n">
        <v>416</v>
      </c>
      <c r="D101" s="18" t="n">
        <v>164</v>
      </c>
      <c r="E101" s="18" t="s">
        <v>166</v>
      </c>
      <c r="F101" s="18" t="s">
        <v>159</v>
      </c>
      <c r="G101" s="18" t="n">
        <f aca="false">IF(D101="",0,D101)</f>
        <v>164</v>
      </c>
    </row>
    <row r="102" customFormat="false" ht="15" hidden="false" customHeight="true" outlineLevel="0" collapsed="false">
      <c r="A102" s="18" t="s">
        <v>183</v>
      </c>
      <c r="B102" s="18" t="s">
        <v>331</v>
      </c>
      <c r="C102" s="18" t="n">
        <v>481</v>
      </c>
      <c r="D102" s="18" t="n">
        <v>154</v>
      </c>
      <c r="E102" s="18" t="s">
        <v>162</v>
      </c>
      <c r="F102" s="18" t="s">
        <v>159</v>
      </c>
      <c r="G102" s="18" t="n">
        <f aca="false">IF(D102="",0,D102)</f>
        <v>154</v>
      </c>
    </row>
    <row r="103" customFormat="false" ht="15" hidden="false" customHeight="true" outlineLevel="0" collapsed="false">
      <c r="A103" s="18" t="s">
        <v>183</v>
      </c>
      <c r="B103" s="18" t="s">
        <v>332</v>
      </c>
      <c r="C103" s="18" t="n">
        <v>0</v>
      </c>
      <c r="D103" s="18" t="n">
        <v>14</v>
      </c>
      <c r="E103" s="18" t="s">
        <v>187</v>
      </c>
      <c r="F103" s="18" t="s">
        <v>159</v>
      </c>
      <c r="G103" s="18" t="n">
        <f aca="false">IF(D103="",0,D103)</f>
        <v>14</v>
      </c>
    </row>
    <row r="104" customFormat="false" ht="15" hidden="false" customHeight="true" outlineLevel="0" collapsed="false">
      <c r="A104" s="18" t="s">
        <v>183</v>
      </c>
      <c r="B104" s="18" t="s">
        <v>333</v>
      </c>
      <c r="C104" s="18" t="n">
        <v>482</v>
      </c>
      <c r="D104" s="18" t="n">
        <v>126</v>
      </c>
      <c r="E104" s="18" t="s">
        <v>187</v>
      </c>
      <c r="F104" s="18" t="s">
        <v>159</v>
      </c>
      <c r="G104" s="18" t="n">
        <f aca="false">IF(D104="",0,D104)</f>
        <v>126</v>
      </c>
    </row>
    <row r="105" customFormat="false" ht="15" hidden="false" customHeight="true" outlineLevel="0" collapsed="false">
      <c r="A105" s="18" t="s">
        <v>183</v>
      </c>
      <c r="B105" s="18" t="s">
        <v>334</v>
      </c>
      <c r="C105" s="18" t="n">
        <v>399</v>
      </c>
      <c r="D105" s="18" t="n">
        <v>121</v>
      </c>
      <c r="E105" s="18" t="s">
        <v>162</v>
      </c>
      <c r="F105" s="18" t="s">
        <v>159</v>
      </c>
      <c r="G105" s="18" t="n">
        <f aca="false">IF(D105="",0,D105)</f>
        <v>121</v>
      </c>
    </row>
    <row r="106" customFormat="false" ht="15" hidden="false" customHeight="true" outlineLevel="0" collapsed="false">
      <c r="A106" s="18" t="s">
        <v>183</v>
      </c>
      <c r="B106" s="18" t="s">
        <v>335</v>
      </c>
      <c r="C106" s="18" t="n">
        <v>397</v>
      </c>
      <c r="D106" s="18" t="n">
        <v>38</v>
      </c>
      <c r="E106" s="18" t="s">
        <v>166</v>
      </c>
      <c r="F106" s="18" t="s">
        <v>159</v>
      </c>
      <c r="G106" s="18" t="n">
        <f aca="false">IF(D106="",0,D106)</f>
        <v>38</v>
      </c>
    </row>
    <row r="107" customFormat="false" ht="15" hidden="false" customHeight="true" outlineLevel="0" collapsed="false">
      <c r="A107" s="18" t="s">
        <v>183</v>
      </c>
      <c r="B107" s="18" t="s">
        <v>336</v>
      </c>
      <c r="C107" s="18" t="n">
        <v>512</v>
      </c>
      <c r="D107" s="18" t="n">
        <v>34</v>
      </c>
      <c r="E107" s="18" t="s">
        <v>166</v>
      </c>
      <c r="F107" s="18" t="s">
        <v>159</v>
      </c>
      <c r="G107" s="18" t="n">
        <f aca="false">IF(D107="",0,D107)</f>
        <v>34</v>
      </c>
    </row>
    <row r="108" customFormat="false" ht="15" hidden="false" customHeight="true" outlineLevel="0" collapsed="false">
      <c r="A108" s="18" t="s">
        <v>183</v>
      </c>
      <c r="B108" s="18" t="s">
        <v>337</v>
      </c>
      <c r="C108" s="18" t="n">
        <v>427</v>
      </c>
      <c r="D108" s="18" t="n">
        <v>185</v>
      </c>
      <c r="E108" s="18" t="s">
        <v>194</v>
      </c>
      <c r="F108" s="18" t="s">
        <v>159</v>
      </c>
      <c r="G108" s="18" t="n">
        <f aca="false">IF(D108="",0,D108)</f>
        <v>185</v>
      </c>
    </row>
    <row r="109" customFormat="false" ht="15" hidden="false" customHeight="true" outlineLevel="0" collapsed="false">
      <c r="A109" s="18" t="s">
        <v>183</v>
      </c>
      <c r="B109" s="18" t="s">
        <v>338</v>
      </c>
      <c r="C109" s="18" t="n">
        <v>446</v>
      </c>
      <c r="D109" s="18" t="n">
        <v>160</v>
      </c>
      <c r="E109" s="18" t="s">
        <v>166</v>
      </c>
      <c r="F109" s="18" t="s">
        <v>159</v>
      </c>
      <c r="G109" s="18" t="n">
        <f aca="false">IF(D109="",0,D109)</f>
        <v>160</v>
      </c>
    </row>
    <row r="110" customFormat="false" ht="15" hidden="false" customHeight="true" outlineLevel="0" collapsed="false">
      <c r="A110" s="18" t="s">
        <v>185</v>
      </c>
      <c r="B110" s="18" t="s">
        <v>327</v>
      </c>
      <c r="C110" s="18" t="n">
        <v>495</v>
      </c>
      <c r="D110" s="18" t="n">
        <v>237</v>
      </c>
      <c r="E110" s="18" t="s">
        <v>162</v>
      </c>
      <c r="F110" s="18" t="s">
        <v>159</v>
      </c>
      <c r="G110" s="18" t="n">
        <f aca="false">IF(D110="",0,D110)</f>
        <v>237</v>
      </c>
    </row>
    <row r="111" customFormat="false" ht="15" hidden="false" customHeight="true" outlineLevel="0" collapsed="false">
      <c r="A111" s="18" t="s">
        <v>185</v>
      </c>
      <c r="B111" s="18" t="s">
        <v>328</v>
      </c>
      <c r="C111" s="18" t="n">
        <v>363</v>
      </c>
      <c r="D111" s="18" t="n">
        <v>48</v>
      </c>
      <c r="E111" s="18" t="s">
        <v>194</v>
      </c>
      <c r="F111" s="18" t="s">
        <v>159</v>
      </c>
      <c r="G111" s="18" t="n">
        <f aca="false">IF(D111="",0,D111)</f>
        <v>48</v>
      </c>
    </row>
    <row r="112" customFormat="false" ht="15" hidden="false" customHeight="true" outlineLevel="0" collapsed="false">
      <c r="A112" s="18" t="s">
        <v>185</v>
      </c>
      <c r="B112" s="18" t="s">
        <v>329</v>
      </c>
      <c r="C112" s="18" t="n">
        <v>410</v>
      </c>
      <c r="D112" s="18" t="n">
        <v>329</v>
      </c>
      <c r="E112" s="18" t="s">
        <v>187</v>
      </c>
      <c r="F112" s="18" t="s">
        <v>159</v>
      </c>
      <c r="G112" s="18" t="n">
        <f aca="false">IF(D112="",0,D112)</f>
        <v>329</v>
      </c>
    </row>
    <row r="113" customFormat="false" ht="15" hidden="false" customHeight="true" outlineLevel="0" collapsed="false">
      <c r="A113" s="18" t="s">
        <v>185</v>
      </c>
      <c r="B113" s="18" t="s">
        <v>330</v>
      </c>
      <c r="C113" s="18" t="n">
        <v>504</v>
      </c>
      <c r="D113" s="18" t="n">
        <v>218</v>
      </c>
      <c r="E113" s="18" t="s">
        <v>194</v>
      </c>
      <c r="F113" s="18" t="s">
        <v>159</v>
      </c>
      <c r="G113" s="18" t="n">
        <f aca="false">IF(D113="",0,D113)</f>
        <v>218</v>
      </c>
    </row>
    <row r="114" customFormat="false" ht="15" hidden="false" customHeight="true" outlineLevel="0" collapsed="false">
      <c r="A114" s="18" t="s">
        <v>185</v>
      </c>
      <c r="B114" s="18" t="s">
        <v>331</v>
      </c>
      <c r="C114" s="18" t="n">
        <v>0</v>
      </c>
      <c r="D114" s="18" t="n">
        <v>93</v>
      </c>
      <c r="E114" s="18" t="s">
        <v>166</v>
      </c>
      <c r="F114" s="18" t="s">
        <v>159</v>
      </c>
      <c r="G114" s="18" t="n">
        <f aca="false">IF(D114="",0,D114)</f>
        <v>93</v>
      </c>
    </row>
    <row r="115" customFormat="false" ht="15" hidden="false" customHeight="true" outlineLevel="0" collapsed="false">
      <c r="A115" s="18" t="s">
        <v>185</v>
      </c>
      <c r="B115" s="18" t="s">
        <v>332</v>
      </c>
      <c r="C115" s="18" t="n">
        <v>0</v>
      </c>
      <c r="D115" s="18" t="n">
        <v>114</v>
      </c>
      <c r="E115" s="18" t="s">
        <v>187</v>
      </c>
      <c r="F115" s="18" t="s">
        <v>159</v>
      </c>
      <c r="G115" s="18" t="n">
        <f aca="false">IF(D115="",0,D115)</f>
        <v>114</v>
      </c>
    </row>
    <row r="116" customFormat="false" ht="15" hidden="false" customHeight="true" outlineLevel="0" collapsed="false">
      <c r="A116" s="18" t="s">
        <v>185</v>
      </c>
      <c r="B116" s="18" t="s">
        <v>333</v>
      </c>
      <c r="C116" s="18" t="n">
        <v>298</v>
      </c>
      <c r="D116" s="18" t="n">
        <v>242</v>
      </c>
      <c r="E116" s="18" t="s">
        <v>194</v>
      </c>
      <c r="F116" s="18" t="s">
        <v>159</v>
      </c>
      <c r="G116" s="18" t="n">
        <f aca="false">IF(D116="",0,D116)</f>
        <v>242</v>
      </c>
    </row>
    <row r="117" customFormat="false" ht="15" hidden="false" customHeight="true" outlineLevel="0" collapsed="false">
      <c r="A117" s="18" t="s">
        <v>185</v>
      </c>
      <c r="B117" s="18" t="s">
        <v>334</v>
      </c>
      <c r="C117" s="18" t="n">
        <v>0</v>
      </c>
      <c r="D117" s="18" t="n">
        <v>70</v>
      </c>
      <c r="E117" s="18" t="s">
        <v>162</v>
      </c>
      <c r="F117" s="18" t="s">
        <v>159</v>
      </c>
      <c r="G117" s="18" t="n">
        <f aca="false">IF(D117="",0,D117)</f>
        <v>70</v>
      </c>
    </row>
    <row r="118" customFormat="false" ht="15" hidden="false" customHeight="true" outlineLevel="0" collapsed="false">
      <c r="A118" s="18" t="s">
        <v>185</v>
      </c>
      <c r="B118" s="18" t="s">
        <v>335</v>
      </c>
      <c r="C118" s="18" t="n">
        <v>294</v>
      </c>
      <c r="D118" s="18" t="n">
        <v>349</v>
      </c>
      <c r="E118" s="18" t="s">
        <v>162</v>
      </c>
      <c r="F118" s="18" t="s">
        <v>159</v>
      </c>
      <c r="G118" s="18" t="n">
        <f aca="false">IF(D118="",0,D118)</f>
        <v>349</v>
      </c>
    </row>
    <row r="119" customFormat="false" ht="15" hidden="false" customHeight="true" outlineLevel="0" collapsed="false">
      <c r="A119" s="18" t="s">
        <v>185</v>
      </c>
      <c r="B119" s="18" t="s">
        <v>336</v>
      </c>
      <c r="C119" s="18" t="n">
        <v>337</v>
      </c>
      <c r="D119" s="18" t="n">
        <v>163</v>
      </c>
      <c r="E119" s="18" t="s">
        <v>162</v>
      </c>
      <c r="F119" s="18" t="s">
        <v>159</v>
      </c>
      <c r="G119" s="18" t="n">
        <f aca="false">IF(D119="",0,D119)</f>
        <v>163</v>
      </c>
    </row>
    <row r="120" customFormat="false" ht="15" hidden="false" customHeight="true" outlineLevel="0" collapsed="false">
      <c r="A120" s="18" t="s">
        <v>185</v>
      </c>
      <c r="B120" s="18" t="s">
        <v>337</v>
      </c>
      <c r="C120" s="18" t="n">
        <v>315</v>
      </c>
      <c r="D120" s="18" t="n">
        <v>146</v>
      </c>
      <c r="E120" s="18" t="s">
        <v>166</v>
      </c>
      <c r="F120" s="18" t="s">
        <v>159</v>
      </c>
      <c r="G120" s="18" t="n">
        <f aca="false">IF(D120="",0,D120)</f>
        <v>146</v>
      </c>
    </row>
    <row r="121" customFormat="false" ht="15" hidden="false" customHeight="true" outlineLevel="0" collapsed="false">
      <c r="A121" s="18" t="s">
        <v>185</v>
      </c>
      <c r="B121" s="18" t="s">
        <v>338</v>
      </c>
      <c r="C121" s="18" t="n">
        <v>500</v>
      </c>
      <c r="D121" s="18" t="n">
        <v>201</v>
      </c>
      <c r="E121" s="18" t="s">
        <v>194</v>
      </c>
      <c r="F121" s="18" t="s">
        <v>159</v>
      </c>
      <c r="G121" s="18" t="n">
        <f aca="false">IF(D121="",0,D121)</f>
        <v>201</v>
      </c>
    </row>
    <row r="122" customFormat="false" ht="15" hidden="false" customHeight="true" outlineLevel="0" collapsed="false">
      <c r="A122" s="18" t="s">
        <v>188</v>
      </c>
      <c r="B122" s="18" t="s">
        <v>327</v>
      </c>
      <c r="C122" s="18" t="n">
        <v>389</v>
      </c>
      <c r="D122" s="18"/>
      <c r="E122" s="18" t="s">
        <v>162</v>
      </c>
      <c r="F122" s="18" t="s">
        <v>180</v>
      </c>
      <c r="G122" s="18" t="n">
        <f aca="false">IF(D122="",0,D122)</f>
        <v>0</v>
      </c>
    </row>
    <row r="123" customFormat="false" ht="15" hidden="false" customHeight="true" outlineLevel="0" collapsed="false">
      <c r="A123" s="18" t="s">
        <v>188</v>
      </c>
      <c r="B123" s="18" t="s">
        <v>328</v>
      </c>
      <c r="C123" s="18" t="n">
        <v>378</v>
      </c>
      <c r="D123" s="18" t="n">
        <v>67</v>
      </c>
      <c r="E123" s="18" t="s">
        <v>194</v>
      </c>
      <c r="F123" s="18" t="s">
        <v>180</v>
      </c>
      <c r="G123" s="18" t="n">
        <f aca="false">IF(D123="",0,D123)</f>
        <v>67</v>
      </c>
    </row>
    <row r="124" customFormat="false" ht="15" hidden="false" customHeight="true" outlineLevel="0" collapsed="false">
      <c r="A124" s="18" t="s">
        <v>188</v>
      </c>
      <c r="B124" s="18" t="s">
        <v>329</v>
      </c>
      <c r="C124" s="18" t="n">
        <v>318</v>
      </c>
      <c r="D124" s="18" t="n">
        <v>7</v>
      </c>
      <c r="E124" s="18" t="s">
        <v>166</v>
      </c>
      <c r="F124" s="18" t="s">
        <v>180</v>
      </c>
      <c r="G124" s="18" t="n">
        <f aca="false">IF(D124="",0,D124)</f>
        <v>7</v>
      </c>
    </row>
    <row r="125" customFormat="false" ht="15" hidden="false" customHeight="true" outlineLevel="0" collapsed="false">
      <c r="A125" s="18" t="s">
        <v>188</v>
      </c>
      <c r="B125" s="18" t="s">
        <v>330</v>
      </c>
      <c r="C125" s="18" t="n">
        <v>439</v>
      </c>
      <c r="D125" s="18" t="n">
        <v>22</v>
      </c>
      <c r="E125" s="18" t="s">
        <v>194</v>
      </c>
      <c r="F125" s="18" t="s">
        <v>180</v>
      </c>
      <c r="G125" s="18" t="n">
        <f aca="false">IF(D125="",0,D125)</f>
        <v>22</v>
      </c>
    </row>
    <row r="126" customFormat="false" ht="15" hidden="false" customHeight="true" outlineLevel="0" collapsed="false">
      <c r="A126" s="18" t="s">
        <v>188</v>
      </c>
      <c r="B126" s="18" t="s">
        <v>331</v>
      </c>
      <c r="C126" s="18" t="n">
        <v>0</v>
      </c>
      <c r="D126" s="18" t="n">
        <v>186</v>
      </c>
      <c r="E126" s="18" t="s">
        <v>162</v>
      </c>
      <c r="F126" s="18" t="s">
        <v>180</v>
      </c>
      <c r="G126" s="18" t="n">
        <f aca="false">IF(D126="",0,D126)</f>
        <v>186</v>
      </c>
    </row>
    <row r="127" customFormat="false" ht="15" hidden="false" customHeight="true" outlineLevel="0" collapsed="false">
      <c r="A127" s="18" t="s">
        <v>188</v>
      </c>
      <c r="B127" s="18" t="s">
        <v>332</v>
      </c>
      <c r="C127" s="18" t="n">
        <v>0</v>
      </c>
      <c r="D127" s="18" t="n">
        <v>145</v>
      </c>
      <c r="E127" s="18" t="s">
        <v>166</v>
      </c>
      <c r="F127" s="18" t="s">
        <v>180</v>
      </c>
      <c r="G127" s="18" t="n">
        <f aca="false">IF(D127="",0,D127)</f>
        <v>145</v>
      </c>
    </row>
    <row r="128" customFormat="false" ht="15" hidden="false" customHeight="true" outlineLevel="0" collapsed="false">
      <c r="A128" s="18" t="s">
        <v>188</v>
      </c>
      <c r="B128" s="18" t="s">
        <v>333</v>
      </c>
      <c r="C128" s="18" t="n">
        <v>349</v>
      </c>
      <c r="D128" s="18" t="n">
        <v>169</v>
      </c>
      <c r="E128" s="18" t="s">
        <v>166</v>
      </c>
      <c r="F128" s="18" t="s">
        <v>180</v>
      </c>
      <c r="G128" s="18" t="n">
        <f aca="false">IF(D128="",0,D128)</f>
        <v>169</v>
      </c>
    </row>
    <row r="129" customFormat="false" ht="15" hidden="false" customHeight="true" outlineLevel="0" collapsed="false">
      <c r="A129" s="18" t="s">
        <v>188</v>
      </c>
      <c r="B129" s="18" t="s">
        <v>334</v>
      </c>
      <c r="C129" s="18" t="n">
        <v>393</v>
      </c>
      <c r="D129" s="18" t="n">
        <v>143</v>
      </c>
      <c r="E129" s="18" t="s">
        <v>166</v>
      </c>
      <c r="F129" s="18" t="s">
        <v>180</v>
      </c>
      <c r="G129" s="18" t="n">
        <f aca="false">IF(D129="",0,D129)</f>
        <v>143</v>
      </c>
    </row>
    <row r="130" customFormat="false" ht="15" hidden="false" customHeight="true" outlineLevel="0" collapsed="false">
      <c r="A130" s="18" t="s">
        <v>188</v>
      </c>
      <c r="B130" s="18" t="s">
        <v>335</v>
      </c>
      <c r="C130" s="18" t="n">
        <v>441</v>
      </c>
      <c r="D130" s="18" t="n">
        <v>94</v>
      </c>
      <c r="E130" s="18" t="s">
        <v>166</v>
      </c>
      <c r="F130" s="18" t="s">
        <v>180</v>
      </c>
      <c r="G130" s="18" t="n">
        <f aca="false">IF(D130="",0,D130)</f>
        <v>94</v>
      </c>
    </row>
    <row r="131" customFormat="false" ht="15" hidden="false" customHeight="true" outlineLevel="0" collapsed="false">
      <c r="A131" s="18" t="s">
        <v>188</v>
      </c>
      <c r="B131" s="18" t="s">
        <v>336</v>
      </c>
      <c r="C131" s="18" t="n">
        <v>466</v>
      </c>
      <c r="D131" s="18" t="n">
        <v>88</v>
      </c>
      <c r="E131" s="18" t="s">
        <v>166</v>
      </c>
      <c r="F131" s="18" t="s">
        <v>180</v>
      </c>
      <c r="G131" s="18" t="n">
        <f aca="false">IF(D131="",0,D131)</f>
        <v>88</v>
      </c>
    </row>
    <row r="132" customFormat="false" ht="15" hidden="false" customHeight="true" outlineLevel="0" collapsed="false">
      <c r="A132" s="18" t="s">
        <v>188</v>
      </c>
      <c r="B132" s="18" t="s">
        <v>337</v>
      </c>
      <c r="C132" s="18" t="n">
        <v>312</v>
      </c>
      <c r="D132" s="18" t="n">
        <v>17</v>
      </c>
      <c r="E132" s="18" t="s">
        <v>194</v>
      </c>
      <c r="F132" s="18" t="s">
        <v>180</v>
      </c>
      <c r="G132" s="18" t="n">
        <f aca="false">IF(D132="",0,D132)</f>
        <v>17</v>
      </c>
    </row>
    <row r="133" customFormat="false" ht="15" hidden="false" customHeight="true" outlineLevel="0" collapsed="false">
      <c r="A133" s="18" t="s">
        <v>188</v>
      </c>
      <c r="B133" s="18" t="s">
        <v>338</v>
      </c>
      <c r="C133" s="18" t="n">
        <v>320</v>
      </c>
      <c r="D133" s="18" t="n">
        <v>157</v>
      </c>
      <c r="E133" s="18" t="s">
        <v>194</v>
      </c>
      <c r="F133" s="18" t="s">
        <v>180</v>
      </c>
      <c r="G133" s="18" t="n">
        <f aca="false">IF(D133="",0,D133)</f>
        <v>157</v>
      </c>
    </row>
    <row r="134" customFormat="false" ht="15" hidden="false" customHeight="true" outlineLevel="0" collapsed="false">
      <c r="A134" s="18" t="s">
        <v>192</v>
      </c>
      <c r="B134" s="18" t="s">
        <v>327</v>
      </c>
      <c r="C134" s="18" t="n">
        <v>837</v>
      </c>
      <c r="D134" s="18" t="n">
        <v>145</v>
      </c>
      <c r="E134" s="18" t="s">
        <v>162</v>
      </c>
      <c r="F134" s="18" t="s">
        <v>163</v>
      </c>
      <c r="G134" s="18" t="n">
        <f aca="false">IF(D134="",0,D134)</f>
        <v>145</v>
      </c>
    </row>
    <row r="135" customFormat="false" ht="15" hidden="false" customHeight="true" outlineLevel="0" collapsed="false">
      <c r="A135" s="18" t="s">
        <v>192</v>
      </c>
      <c r="B135" s="18" t="s">
        <v>328</v>
      </c>
      <c r="C135" s="18" t="n">
        <v>808</v>
      </c>
      <c r="D135" s="18" t="n">
        <v>187</v>
      </c>
      <c r="E135" s="18" t="s">
        <v>162</v>
      </c>
      <c r="F135" s="18" t="s">
        <v>163</v>
      </c>
      <c r="G135" s="18" t="n">
        <f aca="false">IF(D135="",0,D135)</f>
        <v>187</v>
      </c>
    </row>
    <row r="136" customFormat="false" ht="15" hidden="false" customHeight="true" outlineLevel="0" collapsed="false">
      <c r="A136" s="18" t="s">
        <v>192</v>
      </c>
      <c r="B136" s="18" t="s">
        <v>329</v>
      </c>
      <c r="C136" s="18" t="n">
        <v>859</v>
      </c>
      <c r="D136" s="18"/>
      <c r="E136" s="18" t="s">
        <v>187</v>
      </c>
      <c r="F136" s="18" t="s">
        <v>163</v>
      </c>
      <c r="G136" s="18" t="n">
        <f aca="false">IF(D136="",0,D136)</f>
        <v>0</v>
      </c>
    </row>
    <row r="137" customFormat="false" ht="15" hidden="false" customHeight="true" outlineLevel="0" collapsed="false">
      <c r="A137" s="18" t="s">
        <v>192</v>
      </c>
      <c r="B137" s="18" t="s">
        <v>330</v>
      </c>
      <c r="C137" s="18" t="n">
        <v>952</v>
      </c>
      <c r="D137" s="18" t="n">
        <v>254</v>
      </c>
      <c r="E137" s="18" t="s">
        <v>166</v>
      </c>
      <c r="F137" s="18" t="s">
        <v>163</v>
      </c>
      <c r="G137" s="18" t="n">
        <f aca="false">IF(D137="",0,D137)</f>
        <v>254</v>
      </c>
    </row>
    <row r="138" customFormat="false" ht="15" hidden="false" customHeight="true" outlineLevel="0" collapsed="false">
      <c r="A138" s="18" t="s">
        <v>192</v>
      </c>
      <c r="B138" s="18" t="s">
        <v>331</v>
      </c>
      <c r="C138" s="18" t="n">
        <v>1006</v>
      </c>
      <c r="D138" s="18" t="n">
        <v>99</v>
      </c>
      <c r="E138" s="18" t="s">
        <v>194</v>
      </c>
      <c r="F138" s="18" t="s">
        <v>163</v>
      </c>
      <c r="G138" s="18" t="n">
        <f aca="false">IF(D138="",0,D138)</f>
        <v>99</v>
      </c>
    </row>
    <row r="139" customFormat="false" ht="15" hidden="false" customHeight="true" outlineLevel="0" collapsed="false">
      <c r="A139" s="18" t="s">
        <v>192</v>
      </c>
      <c r="B139" s="18" t="s">
        <v>332</v>
      </c>
      <c r="C139" s="18" t="n">
        <v>924</v>
      </c>
      <c r="D139" s="18" t="n">
        <v>21</v>
      </c>
      <c r="E139" s="18" t="s">
        <v>194</v>
      </c>
      <c r="F139" s="18" t="s">
        <v>163</v>
      </c>
      <c r="G139" s="18" t="n">
        <f aca="false">IF(D139="",0,D139)</f>
        <v>21</v>
      </c>
    </row>
    <row r="140" customFormat="false" ht="15" hidden="false" customHeight="true" outlineLevel="0" collapsed="false">
      <c r="A140" s="18" t="s">
        <v>192</v>
      </c>
      <c r="B140" s="18" t="s">
        <v>333</v>
      </c>
      <c r="C140" s="18" t="n">
        <v>664</v>
      </c>
      <c r="D140" s="18" t="n">
        <v>327</v>
      </c>
      <c r="E140" s="18" t="s">
        <v>162</v>
      </c>
      <c r="F140" s="18" t="s">
        <v>163</v>
      </c>
      <c r="G140" s="18" t="n">
        <f aca="false">IF(D140="",0,D140)</f>
        <v>327</v>
      </c>
    </row>
    <row r="141" customFormat="false" ht="15" hidden="false" customHeight="true" outlineLevel="0" collapsed="false">
      <c r="A141" s="18" t="s">
        <v>192</v>
      </c>
      <c r="B141" s="18" t="s">
        <v>334</v>
      </c>
      <c r="C141" s="18" t="n">
        <v>598</v>
      </c>
      <c r="D141" s="18"/>
      <c r="E141" s="18" t="s">
        <v>187</v>
      </c>
      <c r="F141" s="18" t="s">
        <v>163</v>
      </c>
      <c r="G141" s="18" t="n">
        <f aca="false">IF(D141="",0,D141)</f>
        <v>0</v>
      </c>
    </row>
    <row r="142" customFormat="false" ht="15" hidden="false" customHeight="true" outlineLevel="0" collapsed="false">
      <c r="A142" s="18" t="s">
        <v>192</v>
      </c>
      <c r="B142" s="18" t="s">
        <v>335</v>
      </c>
      <c r="C142" s="18" t="n">
        <v>983</v>
      </c>
      <c r="D142" s="18" t="n">
        <v>83</v>
      </c>
      <c r="E142" s="18" t="s">
        <v>194</v>
      </c>
      <c r="F142" s="18" t="s">
        <v>163</v>
      </c>
      <c r="G142" s="18" t="n">
        <f aca="false">IF(D142="",0,D142)</f>
        <v>83</v>
      </c>
    </row>
    <row r="143" customFormat="false" ht="15" hidden="false" customHeight="true" outlineLevel="0" collapsed="false">
      <c r="A143" s="18" t="s">
        <v>192</v>
      </c>
      <c r="B143" s="18" t="s">
        <v>336</v>
      </c>
      <c r="C143" s="18" t="n">
        <v>739</v>
      </c>
      <c r="D143" s="18" t="n">
        <v>388</v>
      </c>
      <c r="E143" s="18" t="s">
        <v>162</v>
      </c>
      <c r="F143" s="18" t="s">
        <v>163</v>
      </c>
      <c r="G143" s="18" t="n">
        <f aca="false">IF(D143="",0,D143)</f>
        <v>388</v>
      </c>
    </row>
    <row r="144" customFormat="false" ht="15" hidden="false" customHeight="true" outlineLevel="0" collapsed="false">
      <c r="A144" s="18" t="s">
        <v>192</v>
      </c>
      <c r="B144" s="18" t="s">
        <v>337</v>
      </c>
      <c r="C144" s="18" t="n">
        <v>1041</v>
      </c>
      <c r="D144" s="18"/>
      <c r="E144" s="18" t="s">
        <v>187</v>
      </c>
      <c r="F144" s="18" t="s">
        <v>163</v>
      </c>
      <c r="G144" s="18" t="n">
        <f aca="false">IF(D144="",0,D144)</f>
        <v>0</v>
      </c>
    </row>
    <row r="145" customFormat="false" ht="15" hidden="false" customHeight="true" outlineLevel="0" collapsed="false">
      <c r="A145" s="18" t="s">
        <v>192</v>
      </c>
      <c r="B145" s="18" t="s">
        <v>338</v>
      </c>
      <c r="C145" s="18" t="n">
        <v>806</v>
      </c>
      <c r="D145" s="18" t="n">
        <v>387</v>
      </c>
      <c r="E145" s="18" t="s">
        <v>166</v>
      </c>
      <c r="F145" s="18" t="s">
        <v>163</v>
      </c>
      <c r="G145" s="18" t="n">
        <f aca="false">IF(D145="",0,D145)</f>
        <v>387</v>
      </c>
    </row>
    <row r="146" customFormat="false" ht="15" hidden="false" customHeight="true" outlineLevel="0" collapsed="false">
      <c r="A146" s="18" t="s">
        <v>195</v>
      </c>
      <c r="B146" s="18" t="s">
        <v>327</v>
      </c>
      <c r="C146" s="18" t="n">
        <v>344</v>
      </c>
      <c r="D146" s="18" t="n">
        <v>18</v>
      </c>
      <c r="E146" s="18" t="s">
        <v>187</v>
      </c>
      <c r="F146" s="18" t="s">
        <v>159</v>
      </c>
      <c r="G146" s="18" t="n">
        <f aca="false">IF(D146="",0,D146)</f>
        <v>18</v>
      </c>
    </row>
    <row r="147" customFormat="false" ht="15" hidden="false" customHeight="true" outlineLevel="0" collapsed="false">
      <c r="A147" s="18" t="s">
        <v>195</v>
      </c>
      <c r="B147" s="18" t="s">
        <v>328</v>
      </c>
      <c r="C147" s="18" t="n">
        <v>342</v>
      </c>
      <c r="D147" s="18" t="n">
        <v>0</v>
      </c>
      <c r="E147" s="18" t="s">
        <v>162</v>
      </c>
      <c r="F147" s="18" t="s">
        <v>159</v>
      </c>
      <c r="G147" s="18" t="n">
        <f aca="false">IF(D147="",0,D147)</f>
        <v>0</v>
      </c>
    </row>
    <row r="148" customFormat="false" ht="15" hidden="false" customHeight="true" outlineLevel="0" collapsed="false">
      <c r="A148" s="18" t="s">
        <v>195</v>
      </c>
      <c r="B148" s="18" t="s">
        <v>329</v>
      </c>
      <c r="C148" s="18" t="n">
        <v>0</v>
      </c>
      <c r="D148" s="18"/>
      <c r="E148" s="18" t="s">
        <v>194</v>
      </c>
      <c r="F148" s="18" t="s">
        <v>159</v>
      </c>
      <c r="G148" s="18" t="n">
        <f aca="false">IF(D148="",0,D148)</f>
        <v>0</v>
      </c>
    </row>
    <row r="149" customFormat="false" ht="15" hidden="false" customHeight="true" outlineLevel="0" collapsed="false">
      <c r="A149" s="18" t="s">
        <v>195</v>
      </c>
      <c r="B149" s="18" t="s">
        <v>330</v>
      </c>
      <c r="C149" s="18" t="n">
        <v>236</v>
      </c>
      <c r="D149" s="18" t="n">
        <v>54</v>
      </c>
      <c r="E149" s="18" t="s">
        <v>187</v>
      </c>
      <c r="F149" s="18" t="s">
        <v>159</v>
      </c>
      <c r="G149" s="18" t="n">
        <f aca="false">IF(D149="",0,D149)</f>
        <v>54</v>
      </c>
    </row>
    <row r="150" customFormat="false" ht="15" hidden="false" customHeight="true" outlineLevel="0" collapsed="false">
      <c r="A150" s="18" t="s">
        <v>195</v>
      </c>
      <c r="B150" s="18" t="s">
        <v>331</v>
      </c>
      <c r="C150" s="18" t="n">
        <v>393</v>
      </c>
      <c r="D150" s="18" t="n">
        <v>79</v>
      </c>
      <c r="E150" s="18" t="s">
        <v>194</v>
      </c>
      <c r="F150" s="18" t="s">
        <v>159</v>
      </c>
      <c r="G150" s="18" t="n">
        <f aca="false">IF(D150="",0,D150)</f>
        <v>79</v>
      </c>
    </row>
    <row r="151" customFormat="false" ht="15" hidden="false" customHeight="true" outlineLevel="0" collapsed="false">
      <c r="A151" s="18" t="s">
        <v>195</v>
      </c>
      <c r="B151" s="18" t="s">
        <v>332</v>
      </c>
      <c r="C151" s="18" t="n">
        <v>280</v>
      </c>
      <c r="D151" s="18" t="n">
        <v>11</v>
      </c>
      <c r="E151" s="18" t="s">
        <v>162</v>
      </c>
      <c r="F151" s="18" t="s">
        <v>159</v>
      </c>
      <c r="G151" s="18" t="n">
        <f aca="false">IF(D151="",0,D151)</f>
        <v>11</v>
      </c>
    </row>
    <row r="152" customFormat="false" ht="15" hidden="false" customHeight="true" outlineLevel="0" collapsed="false">
      <c r="A152" s="18" t="s">
        <v>195</v>
      </c>
      <c r="B152" s="18" t="s">
        <v>333</v>
      </c>
      <c r="C152" s="18" t="n">
        <v>223</v>
      </c>
      <c r="D152" s="18" t="n">
        <v>78</v>
      </c>
      <c r="E152" s="18" t="s">
        <v>187</v>
      </c>
      <c r="F152" s="18" t="s">
        <v>159</v>
      </c>
      <c r="G152" s="18" t="n">
        <f aca="false">IF(D152="",0,D152)</f>
        <v>78</v>
      </c>
    </row>
    <row r="153" customFormat="false" ht="15" hidden="false" customHeight="true" outlineLevel="0" collapsed="false">
      <c r="A153" s="18" t="s">
        <v>195</v>
      </c>
      <c r="B153" s="18" t="s">
        <v>334</v>
      </c>
      <c r="C153" s="18" t="n">
        <v>254</v>
      </c>
      <c r="D153" s="18" t="n">
        <v>39</v>
      </c>
      <c r="E153" s="18" t="s">
        <v>187</v>
      </c>
      <c r="F153" s="18" t="s">
        <v>159</v>
      </c>
      <c r="G153" s="18" t="n">
        <f aca="false">IF(D153="",0,D153)</f>
        <v>39</v>
      </c>
    </row>
    <row r="154" customFormat="false" ht="15" hidden="false" customHeight="true" outlineLevel="0" collapsed="false">
      <c r="A154" s="18" t="s">
        <v>195</v>
      </c>
      <c r="B154" s="18" t="s">
        <v>335</v>
      </c>
      <c r="C154" s="18" t="n">
        <v>303</v>
      </c>
      <c r="D154" s="18" t="n">
        <v>4</v>
      </c>
      <c r="E154" s="18" t="s">
        <v>166</v>
      </c>
      <c r="F154" s="18" t="s">
        <v>159</v>
      </c>
      <c r="G154" s="18" t="n">
        <f aca="false">IF(D154="",0,D154)</f>
        <v>4</v>
      </c>
    </row>
    <row r="155" customFormat="false" ht="15" hidden="false" customHeight="true" outlineLevel="0" collapsed="false">
      <c r="A155" s="18" t="s">
        <v>195</v>
      </c>
      <c r="B155" s="18" t="s">
        <v>336</v>
      </c>
      <c r="C155" s="18" t="n">
        <v>374</v>
      </c>
      <c r="D155" s="18" t="n">
        <v>33</v>
      </c>
      <c r="E155" s="18" t="s">
        <v>187</v>
      </c>
      <c r="F155" s="18" t="s">
        <v>159</v>
      </c>
      <c r="G155" s="18" t="n">
        <f aca="false">IF(D155="",0,D155)</f>
        <v>33</v>
      </c>
    </row>
    <row r="156" customFormat="false" ht="15" hidden="false" customHeight="true" outlineLevel="0" collapsed="false">
      <c r="A156" s="18" t="s">
        <v>195</v>
      </c>
      <c r="B156" s="18" t="s">
        <v>337</v>
      </c>
      <c r="C156" s="18" t="n">
        <v>329</v>
      </c>
      <c r="D156" s="18" t="n">
        <v>56</v>
      </c>
      <c r="E156" s="18" t="s">
        <v>187</v>
      </c>
      <c r="F156" s="18" t="s">
        <v>159</v>
      </c>
      <c r="G156" s="18" t="n">
        <f aca="false">IF(D156="",0,D156)</f>
        <v>56</v>
      </c>
    </row>
    <row r="157" customFormat="false" ht="15" hidden="false" customHeight="true" outlineLevel="0" collapsed="false">
      <c r="A157" s="18" t="s">
        <v>195</v>
      </c>
      <c r="B157" s="18" t="s">
        <v>338</v>
      </c>
      <c r="C157" s="18" t="n">
        <v>398</v>
      </c>
      <c r="D157" s="18" t="n">
        <v>1</v>
      </c>
      <c r="E157" s="18" t="s">
        <v>162</v>
      </c>
      <c r="F157" s="18" t="s">
        <v>159</v>
      </c>
      <c r="G157" s="18" t="n">
        <f aca="false">IF(D157="",0,D157)</f>
        <v>1</v>
      </c>
    </row>
    <row r="158" customFormat="false" ht="15" hidden="false" customHeight="true" outlineLevel="0" collapsed="false">
      <c r="A158" s="18" t="s">
        <v>197</v>
      </c>
      <c r="B158" s="18" t="s">
        <v>327</v>
      </c>
      <c r="C158" s="18" t="n">
        <v>399</v>
      </c>
      <c r="D158" s="18" t="n">
        <v>61</v>
      </c>
      <c r="E158" s="18" t="s">
        <v>162</v>
      </c>
      <c r="F158" s="18" t="s">
        <v>180</v>
      </c>
      <c r="G158" s="18" t="n">
        <f aca="false">IF(D158="",0,D158)</f>
        <v>61</v>
      </c>
    </row>
    <row r="159" customFormat="false" ht="15" hidden="false" customHeight="true" outlineLevel="0" collapsed="false">
      <c r="A159" s="18" t="s">
        <v>197</v>
      </c>
      <c r="B159" s="18" t="s">
        <v>328</v>
      </c>
      <c r="C159" s="18" t="n">
        <v>435</v>
      </c>
      <c r="D159" s="18" t="n">
        <v>89</v>
      </c>
      <c r="E159" s="18" t="s">
        <v>166</v>
      </c>
      <c r="F159" s="18" t="s">
        <v>180</v>
      </c>
      <c r="G159" s="18" t="n">
        <f aca="false">IF(D159="",0,D159)</f>
        <v>89</v>
      </c>
    </row>
    <row r="160" customFormat="false" ht="15" hidden="false" customHeight="true" outlineLevel="0" collapsed="false">
      <c r="A160" s="18" t="s">
        <v>197</v>
      </c>
      <c r="B160" s="18" t="s">
        <v>329</v>
      </c>
      <c r="C160" s="18" t="n">
        <v>454</v>
      </c>
      <c r="D160" s="18" t="n">
        <v>131</v>
      </c>
      <c r="E160" s="18" t="s">
        <v>162</v>
      </c>
      <c r="F160" s="18" t="s">
        <v>180</v>
      </c>
      <c r="G160" s="18" t="n">
        <f aca="false">IF(D160="",0,D160)</f>
        <v>131</v>
      </c>
    </row>
    <row r="161" customFormat="false" ht="15" hidden="false" customHeight="true" outlineLevel="0" collapsed="false">
      <c r="A161" s="18" t="s">
        <v>197</v>
      </c>
      <c r="B161" s="18" t="s">
        <v>330</v>
      </c>
      <c r="C161" s="18" t="n">
        <v>429</v>
      </c>
      <c r="D161" s="18" t="n">
        <v>73</v>
      </c>
      <c r="E161" s="18" t="s">
        <v>187</v>
      </c>
      <c r="F161" s="18" t="s">
        <v>180</v>
      </c>
      <c r="G161" s="18" t="n">
        <f aca="false">IF(D161="",0,D161)</f>
        <v>73</v>
      </c>
    </row>
    <row r="162" customFormat="false" ht="15" hidden="false" customHeight="true" outlineLevel="0" collapsed="false">
      <c r="A162" s="18" t="s">
        <v>197</v>
      </c>
      <c r="B162" s="18" t="s">
        <v>331</v>
      </c>
      <c r="C162" s="18" t="n">
        <v>0</v>
      </c>
      <c r="D162" s="18"/>
      <c r="E162" s="18" t="s">
        <v>166</v>
      </c>
      <c r="F162" s="18" t="s">
        <v>180</v>
      </c>
      <c r="G162" s="18" t="n">
        <f aca="false">IF(D162="",0,D162)</f>
        <v>0</v>
      </c>
    </row>
    <row r="163" customFormat="false" ht="15" hidden="false" customHeight="true" outlineLevel="0" collapsed="false">
      <c r="A163" s="18" t="s">
        <v>197</v>
      </c>
      <c r="B163" s="18" t="s">
        <v>332</v>
      </c>
      <c r="C163" s="18" t="n">
        <v>307</v>
      </c>
      <c r="D163" s="18" t="n">
        <v>94</v>
      </c>
      <c r="E163" s="18" t="s">
        <v>187</v>
      </c>
      <c r="F163" s="18" t="s">
        <v>180</v>
      </c>
      <c r="G163" s="18" t="n">
        <f aca="false">IF(D163="",0,D163)</f>
        <v>94</v>
      </c>
    </row>
    <row r="164" customFormat="false" ht="15" hidden="false" customHeight="true" outlineLevel="0" collapsed="false">
      <c r="A164" s="18" t="s">
        <v>197</v>
      </c>
      <c r="B164" s="18" t="s">
        <v>333</v>
      </c>
      <c r="C164" s="18" t="n">
        <v>363</v>
      </c>
      <c r="D164" s="18" t="n">
        <v>30</v>
      </c>
      <c r="E164" s="18" t="s">
        <v>194</v>
      </c>
      <c r="F164" s="18" t="s">
        <v>180</v>
      </c>
      <c r="G164" s="18" t="n">
        <f aca="false">IF(D164="",0,D164)</f>
        <v>30</v>
      </c>
    </row>
    <row r="165" customFormat="false" ht="15" hidden="false" customHeight="true" outlineLevel="0" collapsed="false">
      <c r="A165" s="18" t="s">
        <v>197</v>
      </c>
      <c r="B165" s="18" t="s">
        <v>334</v>
      </c>
      <c r="C165" s="18" t="n">
        <v>303</v>
      </c>
      <c r="D165" s="18" t="n">
        <v>45</v>
      </c>
      <c r="E165" s="18" t="s">
        <v>194</v>
      </c>
      <c r="F165" s="18" t="s">
        <v>180</v>
      </c>
      <c r="G165" s="18" t="n">
        <f aca="false">IF(D165="",0,D165)</f>
        <v>45</v>
      </c>
    </row>
    <row r="166" customFormat="false" ht="15" hidden="false" customHeight="true" outlineLevel="0" collapsed="false">
      <c r="A166" s="18" t="s">
        <v>197</v>
      </c>
      <c r="B166" s="18" t="s">
        <v>335</v>
      </c>
      <c r="C166" s="18" t="n">
        <v>300</v>
      </c>
      <c r="D166" s="18"/>
      <c r="E166" s="18" t="s">
        <v>187</v>
      </c>
      <c r="F166" s="18" t="s">
        <v>180</v>
      </c>
      <c r="G166" s="18" t="n">
        <f aca="false">IF(D166="",0,D166)</f>
        <v>0</v>
      </c>
    </row>
    <row r="167" customFormat="false" ht="15" hidden="false" customHeight="true" outlineLevel="0" collapsed="false">
      <c r="A167" s="18" t="s">
        <v>197</v>
      </c>
      <c r="B167" s="18" t="s">
        <v>336</v>
      </c>
      <c r="C167" s="18" t="n">
        <v>379</v>
      </c>
      <c r="D167" s="18" t="n">
        <v>5</v>
      </c>
      <c r="E167" s="18" t="s">
        <v>187</v>
      </c>
      <c r="F167" s="18" t="s">
        <v>180</v>
      </c>
      <c r="G167" s="18" t="n">
        <f aca="false">IF(D167="",0,D167)</f>
        <v>5</v>
      </c>
    </row>
    <row r="168" customFormat="false" ht="15" hidden="false" customHeight="true" outlineLevel="0" collapsed="false">
      <c r="A168" s="18" t="s">
        <v>197</v>
      </c>
      <c r="B168" s="18" t="s">
        <v>337</v>
      </c>
      <c r="C168" s="18" t="n">
        <v>477</v>
      </c>
      <c r="D168" s="18" t="n">
        <v>171</v>
      </c>
      <c r="E168" s="18" t="s">
        <v>194</v>
      </c>
      <c r="F168" s="18" t="s">
        <v>180</v>
      </c>
      <c r="G168" s="18" t="n">
        <f aca="false">IF(D168="",0,D168)</f>
        <v>171</v>
      </c>
    </row>
    <row r="169" customFormat="false" ht="15" hidden="false" customHeight="true" outlineLevel="0" collapsed="false">
      <c r="A169" s="18" t="s">
        <v>197</v>
      </c>
      <c r="B169" s="18" t="s">
        <v>338</v>
      </c>
      <c r="C169" s="18" t="n">
        <v>298</v>
      </c>
      <c r="D169" s="18" t="n">
        <v>53</v>
      </c>
      <c r="E169" s="18" t="s">
        <v>162</v>
      </c>
      <c r="F169" s="18" t="s">
        <v>180</v>
      </c>
      <c r="G169" s="18" t="n">
        <f aca="false">IF(D169="",0,D169)</f>
        <v>53</v>
      </c>
    </row>
    <row r="170" customFormat="false" ht="15" hidden="false" customHeight="true" outlineLevel="0" collapsed="false">
      <c r="A170" s="18" t="s">
        <v>199</v>
      </c>
      <c r="B170" s="18" t="s">
        <v>327</v>
      </c>
      <c r="C170" s="18" t="n">
        <v>237</v>
      </c>
      <c r="D170" s="18" t="n">
        <v>84</v>
      </c>
      <c r="E170" s="18" t="s">
        <v>238</v>
      </c>
      <c r="F170" s="18" t="s">
        <v>180</v>
      </c>
      <c r="G170" s="18" t="n">
        <f aca="false">IF(D170="",0,D170)</f>
        <v>84</v>
      </c>
    </row>
    <row r="171" customFormat="false" ht="15" hidden="false" customHeight="true" outlineLevel="0" collapsed="false">
      <c r="A171" s="18" t="s">
        <v>199</v>
      </c>
      <c r="B171" s="18" t="s">
        <v>328</v>
      </c>
      <c r="C171" s="18" t="n">
        <v>289</v>
      </c>
      <c r="D171" s="18" t="n">
        <v>97</v>
      </c>
      <c r="E171" s="18" t="s">
        <v>201</v>
      </c>
      <c r="F171" s="18" t="s">
        <v>180</v>
      </c>
      <c r="G171" s="18" t="n">
        <f aca="false">IF(D171="",0,D171)</f>
        <v>97</v>
      </c>
    </row>
    <row r="172" customFormat="false" ht="15" hidden="false" customHeight="true" outlineLevel="0" collapsed="false">
      <c r="A172" s="18" t="s">
        <v>199</v>
      </c>
      <c r="B172" s="18" t="s">
        <v>329</v>
      </c>
      <c r="C172" s="18" t="n">
        <v>221</v>
      </c>
      <c r="D172" s="18" t="n">
        <v>86</v>
      </c>
      <c r="E172" s="18" t="s">
        <v>238</v>
      </c>
      <c r="F172" s="18" t="s">
        <v>180</v>
      </c>
      <c r="G172" s="18" t="n">
        <f aca="false">IF(D172="",0,D172)</f>
        <v>86</v>
      </c>
    </row>
    <row r="173" customFormat="false" ht="15" hidden="false" customHeight="true" outlineLevel="0" collapsed="false">
      <c r="A173" s="18" t="s">
        <v>199</v>
      </c>
      <c r="B173" s="18" t="s">
        <v>330</v>
      </c>
      <c r="C173" s="18" t="n">
        <v>340</v>
      </c>
      <c r="D173" s="18" t="n">
        <v>16</v>
      </c>
      <c r="E173" s="18" t="s">
        <v>201</v>
      </c>
      <c r="F173" s="18" t="s">
        <v>180</v>
      </c>
      <c r="G173" s="18" t="n">
        <f aca="false">IF(D173="",0,D173)</f>
        <v>16</v>
      </c>
    </row>
    <row r="174" customFormat="false" ht="15" hidden="false" customHeight="true" outlineLevel="0" collapsed="false">
      <c r="A174" s="18" t="s">
        <v>199</v>
      </c>
      <c r="B174" s="18" t="s">
        <v>331</v>
      </c>
      <c r="C174" s="18" t="n">
        <v>363</v>
      </c>
      <c r="D174" s="18" t="n">
        <v>40</v>
      </c>
      <c r="E174" s="18" t="s">
        <v>212</v>
      </c>
      <c r="F174" s="18" t="s">
        <v>180</v>
      </c>
      <c r="G174" s="18" t="n">
        <f aca="false">IF(D174="",0,D174)</f>
        <v>40</v>
      </c>
    </row>
    <row r="175" customFormat="false" ht="15" hidden="false" customHeight="true" outlineLevel="0" collapsed="false">
      <c r="A175" s="18" t="s">
        <v>199</v>
      </c>
      <c r="B175" s="18" t="s">
        <v>332</v>
      </c>
      <c r="C175" s="18" t="n">
        <v>241</v>
      </c>
      <c r="D175" s="18" t="n">
        <v>69</v>
      </c>
      <c r="E175" s="18" t="s">
        <v>201</v>
      </c>
      <c r="F175" s="18" t="s">
        <v>180</v>
      </c>
      <c r="G175" s="18" t="n">
        <f aca="false">IF(D175="",0,D175)</f>
        <v>69</v>
      </c>
    </row>
    <row r="176" customFormat="false" ht="15" hidden="false" customHeight="true" outlineLevel="0" collapsed="false">
      <c r="A176" s="18" t="s">
        <v>199</v>
      </c>
      <c r="B176" s="18" t="s">
        <v>333</v>
      </c>
      <c r="C176" s="18" t="n">
        <v>345</v>
      </c>
      <c r="D176" s="18" t="n">
        <v>71</v>
      </c>
      <c r="E176" s="18" t="s">
        <v>201</v>
      </c>
      <c r="F176" s="18" t="s">
        <v>180</v>
      </c>
      <c r="G176" s="18" t="n">
        <f aca="false">IF(D176="",0,D176)</f>
        <v>71</v>
      </c>
    </row>
    <row r="177" customFormat="false" ht="15" hidden="false" customHeight="true" outlineLevel="0" collapsed="false">
      <c r="A177" s="18" t="s">
        <v>199</v>
      </c>
      <c r="B177" s="18" t="s">
        <v>334</v>
      </c>
      <c r="C177" s="18" t="n">
        <v>226</v>
      </c>
      <c r="D177" s="18" t="n">
        <v>102</v>
      </c>
      <c r="E177" s="18" t="s">
        <v>212</v>
      </c>
      <c r="F177" s="18" t="s">
        <v>180</v>
      </c>
      <c r="G177" s="18" t="n">
        <f aca="false">IF(D177="",0,D177)</f>
        <v>102</v>
      </c>
    </row>
    <row r="178" customFormat="false" ht="15" hidden="false" customHeight="true" outlineLevel="0" collapsed="false">
      <c r="A178" s="18" t="s">
        <v>199</v>
      </c>
      <c r="B178" s="18" t="s">
        <v>335</v>
      </c>
      <c r="C178" s="18" t="n">
        <v>216</v>
      </c>
      <c r="D178" s="18" t="n">
        <v>31</v>
      </c>
      <c r="E178" s="18" t="s">
        <v>238</v>
      </c>
      <c r="F178" s="18" t="s">
        <v>180</v>
      </c>
      <c r="G178" s="18" t="n">
        <f aca="false">IF(D178="",0,D178)</f>
        <v>31</v>
      </c>
    </row>
    <row r="179" customFormat="false" ht="15" hidden="false" customHeight="true" outlineLevel="0" collapsed="false">
      <c r="A179" s="18" t="s">
        <v>199</v>
      </c>
      <c r="B179" s="18" t="s">
        <v>336</v>
      </c>
      <c r="C179" s="18" t="n">
        <v>274</v>
      </c>
      <c r="D179" s="18" t="n">
        <v>135</v>
      </c>
      <c r="E179" s="18" t="s">
        <v>212</v>
      </c>
      <c r="F179" s="18" t="s">
        <v>180</v>
      </c>
      <c r="G179" s="18" t="n">
        <f aca="false">IF(D179="",0,D179)</f>
        <v>135</v>
      </c>
    </row>
    <row r="180" customFormat="false" ht="15" hidden="false" customHeight="true" outlineLevel="0" collapsed="false">
      <c r="A180" s="18" t="s">
        <v>199</v>
      </c>
      <c r="B180" s="18" t="s">
        <v>337</v>
      </c>
      <c r="C180" s="18" t="n">
        <v>321</v>
      </c>
      <c r="D180" s="18" t="n">
        <v>132</v>
      </c>
      <c r="E180" s="18" t="s">
        <v>201</v>
      </c>
      <c r="F180" s="18" t="s">
        <v>180</v>
      </c>
      <c r="G180" s="18" t="n">
        <f aca="false">IF(D180="",0,D180)</f>
        <v>132</v>
      </c>
    </row>
    <row r="181" customFormat="false" ht="15" hidden="false" customHeight="true" outlineLevel="0" collapsed="false">
      <c r="A181" s="18" t="s">
        <v>199</v>
      </c>
      <c r="B181" s="18" t="s">
        <v>338</v>
      </c>
      <c r="C181" s="18" t="n">
        <v>261</v>
      </c>
      <c r="D181" s="18" t="n">
        <v>39</v>
      </c>
      <c r="E181" s="18" t="s">
        <v>238</v>
      </c>
      <c r="F181" s="18" t="s">
        <v>180</v>
      </c>
      <c r="G181" s="18" t="n">
        <f aca="false">IF(D181="",0,D181)</f>
        <v>39</v>
      </c>
    </row>
    <row r="182" customFormat="false" ht="15" hidden="false" customHeight="true" outlineLevel="0" collapsed="false">
      <c r="A182" s="18" t="s">
        <v>202</v>
      </c>
      <c r="B182" s="18" t="s">
        <v>327</v>
      </c>
      <c r="C182" s="18" t="n">
        <v>1252</v>
      </c>
      <c r="D182" s="18" t="n">
        <v>265</v>
      </c>
      <c r="E182" s="18" t="s">
        <v>166</v>
      </c>
      <c r="F182" s="18" t="s">
        <v>180</v>
      </c>
      <c r="G182" s="18" t="n">
        <f aca="false">IF(D182="",0,D182)</f>
        <v>265</v>
      </c>
    </row>
    <row r="183" customFormat="false" ht="15" hidden="false" customHeight="true" outlineLevel="0" collapsed="false">
      <c r="A183" s="18" t="s">
        <v>202</v>
      </c>
      <c r="B183" s="18" t="s">
        <v>328</v>
      </c>
      <c r="C183" s="18" t="n">
        <v>1742</v>
      </c>
      <c r="D183" s="18" t="n">
        <v>291</v>
      </c>
      <c r="E183" s="18" t="s">
        <v>194</v>
      </c>
      <c r="F183" s="18" t="s">
        <v>180</v>
      </c>
      <c r="G183" s="18" t="n">
        <f aca="false">IF(D183="",0,D183)</f>
        <v>291</v>
      </c>
    </row>
    <row r="184" customFormat="false" ht="15" hidden="false" customHeight="true" outlineLevel="0" collapsed="false">
      <c r="A184" s="18" t="s">
        <v>202</v>
      </c>
      <c r="B184" s="18" t="s">
        <v>329</v>
      </c>
      <c r="C184" s="18" t="n">
        <v>1195</v>
      </c>
      <c r="D184" s="18" t="n">
        <v>268</v>
      </c>
      <c r="E184" s="18" t="s">
        <v>194</v>
      </c>
      <c r="F184" s="18" t="s">
        <v>180</v>
      </c>
      <c r="G184" s="18" t="n">
        <f aca="false">IF(D184="",0,D184)</f>
        <v>268</v>
      </c>
    </row>
    <row r="185" customFormat="false" ht="15" hidden="false" customHeight="true" outlineLevel="0" collapsed="false">
      <c r="A185" s="18" t="s">
        <v>202</v>
      </c>
      <c r="B185" s="18" t="s">
        <v>330</v>
      </c>
      <c r="C185" s="18" t="n">
        <v>1226</v>
      </c>
      <c r="D185" s="18" t="n">
        <v>20</v>
      </c>
      <c r="E185" s="18" t="s">
        <v>162</v>
      </c>
      <c r="F185" s="18" t="s">
        <v>180</v>
      </c>
      <c r="G185" s="18" t="n">
        <f aca="false">IF(D185="",0,D185)</f>
        <v>20</v>
      </c>
    </row>
    <row r="186" customFormat="false" ht="15" hidden="false" customHeight="true" outlineLevel="0" collapsed="false">
      <c r="A186" s="18" t="s">
        <v>202</v>
      </c>
      <c r="B186" s="18" t="s">
        <v>331</v>
      </c>
      <c r="C186" s="18" t="n">
        <v>1537</v>
      </c>
      <c r="D186" s="18" t="n">
        <v>220</v>
      </c>
      <c r="E186" s="18" t="s">
        <v>187</v>
      </c>
      <c r="F186" s="18" t="s">
        <v>180</v>
      </c>
      <c r="G186" s="18" t="n">
        <f aca="false">IF(D186="",0,D186)</f>
        <v>220</v>
      </c>
    </row>
    <row r="187" customFormat="false" ht="15" hidden="false" customHeight="true" outlineLevel="0" collapsed="false">
      <c r="A187" s="18" t="s">
        <v>202</v>
      </c>
      <c r="B187" s="18" t="s">
        <v>332</v>
      </c>
      <c r="C187" s="18" t="n">
        <v>1649</v>
      </c>
      <c r="D187" s="18" t="n">
        <v>84</v>
      </c>
      <c r="E187" s="18" t="s">
        <v>194</v>
      </c>
      <c r="F187" s="18" t="s">
        <v>180</v>
      </c>
      <c r="G187" s="18" t="n">
        <f aca="false">IF(D187="",0,D187)</f>
        <v>84</v>
      </c>
    </row>
    <row r="188" customFormat="false" ht="15" hidden="false" customHeight="true" outlineLevel="0" collapsed="false">
      <c r="A188" s="18" t="s">
        <v>202</v>
      </c>
      <c r="B188" s="18" t="s">
        <v>333</v>
      </c>
      <c r="C188" s="18" t="n">
        <v>1944</v>
      </c>
      <c r="D188" s="18" t="n">
        <v>87</v>
      </c>
      <c r="E188" s="18" t="s">
        <v>187</v>
      </c>
      <c r="F188" s="18" t="s">
        <v>180</v>
      </c>
      <c r="G188" s="18" t="n">
        <f aca="false">IF(D188="",0,D188)</f>
        <v>87</v>
      </c>
    </row>
    <row r="189" customFormat="false" ht="15" hidden="false" customHeight="true" outlineLevel="0" collapsed="false">
      <c r="A189" s="18" t="s">
        <v>202</v>
      </c>
      <c r="B189" s="18" t="s">
        <v>334</v>
      </c>
      <c r="C189" s="18" t="n">
        <v>1276</v>
      </c>
      <c r="D189" s="18" t="n">
        <v>264</v>
      </c>
      <c r="E189" s="18" t="s">
        <v>162</v>
      </c>
      <c r="F189" s="18" t="s">
        <v>180</v>
      </c>
      <c r="G189" s="18" t="n">
        <f aca="false">IF(D189="",0,D189)</f>
        <v>264</v>
      </c>
    </row>
    <row r="190" customFormat="false" ht="15" hidden="false" customHeight="true" outlineLevel="0" collapsed="false">
      <c r="A190" s="18" t="s">
        <v>202</v>
      </c>
      <c r="B190" s="18" t="s">
        <v>335</v>
      </c>
      <c r="C190" s="18" t="n">
        <v>1496</v>
      </c>
      <c r="D190" s="18" t="n">
        <v>87</v>
      </c>
      <c r="E190" s="18" t="s">
        <v>162</v>
      </c>
      <c r="F190" s="18" t="s">
        <v>180</v>
      </c>
      <c r="G190" s="18" t="n">
        <f aca="false">IF(D190="",0,D190)</f>
        <v>87</v>
      </c>
    </row>
    <row r="191" customFormat="false" ht="15" hidden="false" customHeight="true" outlineLevel="0" collapsed="false">
      <c r="A191" s="18" t="s">
        <v>202</v>
      </c>
      <c r="B191" s="18" t="s">
        <v>336</v>
      </c>
      <c r="C191" s="18" t="n">
        <v>0</v>
      </c>
      <c r="D191" s="18" t="n">
        <v>118</v>
      </c>
      <c r="E191" s="18" t="s">
        <v>187</v>
      </c>
      <c r="F191" s="18" t="s">
        <v>180</v>
      </c>
      <c r="G191" s="18" t="n">
        <f aca="false">IF(D191="",0,D191)</f>
        <v>118</v>
      </c>
    </row>
    <row r="192" customFormat="false" ht="15" hidden="false" customHeight="true" outlineLevel="0" collapsed="false">
      <c r="A192" s="18" t="s">
        <v>202</v>
      </c>
      <c r="B192" s="18" t="s">
        <v>337</v>
      </c>
      <c r="C192" s="18" t="n">
        <v>1623</v>
      </c>
      <c r="D192" s="18"/>
      <c r="E192" s="18" t="s">
        <v>162</v>
      </c>
      <c r="F192" s="18" t="s">
        <v>180</v>
      </c>
      <c r="G192" s="18" t="n">
        <f aca="false">IF(D192="",0,D192)</f>
        <v>0</v>
      </c>
    </row>
    <row r="193" customFormat="false" ht="15" hidden="false" customHeight="true" outlineLevel="0" collapsed="false">
      <c r="A193" s="18" t="s">
        <v>202</v>
      </c>
      <c r="B193" s="18" t="s">
        <v>338</v>
      </c>
      <c r="C193" s="18" t="n">
        <v>1846</v>
      </c>
      <c r="D193" s="18" t="n">
        <v>152</v>
      </c>
      <c r="E193" s="18" t="s">
        <v>162</v>
      </c>
      <c r="F193" s="18" t="s">
        <v>180</v>
      </c>
      <c r="G193" s="18" t="n">
        <f aca="false">IF(D193="",0,D193)</f>
        <v>152</v>
      </c>
    </row>
    <row r="194" customFormat="false" ht="15" hidden="false" customHeight="true" outlineLevel="0" collapsed="false">
      <c r="A194" s="18" t="s">
        <v>206</v>
      </c>
      <c r="B194" s="18" t="s">
        <v>327</v>
      </c>
      <c r="C194" s="18" t="n">
        <v>488</v>
      </c>
      <c r="D194" s="18" t="n">
        <v>43</v>
      </c>
      <c r="E194" s="18" t="s">
        <v>177</v>
      </c>
      <c r="F194" s="18" t="s">
        <v>180</v>
      </c>
      <c r="G194" s="18" t="n">
        <f aca="false">IF(D194="",0,D194)</f>
        <v>43</v>
      </c>
    </row>
    <row r="195" customFormat="false" ht="15" hidden="false" customHeight="true" outlineLevel="0" collapsed="false">
      <c r="A195" s="18" t="s">
        <v>206</v>
      </c>
      <c r="B195" s="18" t="s">
        <v>328</v>
      </c>
      <c r="C195" s="18" t="n">
        <v>311</v>
      </c>
      <c r="D195" s="18" t="n">
        <v>64</v>
      </c>
      <c r="E195" s="18" t="s">
        <v>177</v>
      </c>
      <c r="F195" s="18" t="s">
        <v>180</v>
      </c>
      <c r="G195" s="18" t="n">
        <f aca="false">IF(D195="",0,D195)</f>
        <v>64</v>
      </c>
    </row>
    <row r="196" customFormat="false" ht="15" hidden="false" customHeight="true" outlineLevel="0" collapsed="false">
      <c r="A196" s="18" t="s">
        <v>206</v>
      </c>
      <c r="B196" s="18" t="s">
        <v>329</v>
      </c>
      <c r="C196" s="18" t="n">
        <v>489</v>
      </c>
      <c r="D196" s="18" t="n">
        <v>1</v>
      </c>
      <c r="E196" s="18" t="s">
        <v>177</v>
      </c>
      <c r="F196" s="18" t="s">
        <v>180</v>
      </c>
      <c r="G196" s="18" t="n">
        <f aca="false">IF(D196="",0,D196)</f>
        <v>1</v>
      </c>
    </row>
    <row r="197" customFormat="false" ht="15" hidden="false" customHeight="true" outlineLevel="0" collapsed="false">
      <c r="A197" s="18" t="s">
        <v>206</v>
      </c>
      <c r="B197" s="18" t="s">
        <v>330</v>
      </c>
      <c r="C197" s="18" t="n">
        <v>439</v>
      </c>
      <c r="D197" s="18" t="n">
        <v>115</v>
      </c>
      <c r="E197" s="18" t="s">
        <v>158</v>
      </c>
      <c r="F197" s="18" t="s">
        <v>180</v>
      </c>
      <c r="G197" s="18" t="n">
        <f aca="false">IF(D197="",0,D197)</f>
        <v>115</v>
      </c>
    </row>
    <row r="198" customFormat="false" ht="15" hidden="false" customHeight="true" outlineLevel="0" collapsed="false">
      <c r="A198" s="18" t="s">
        <v>206</v>
      </c>
      <c r="B198" s="18" t="s">
        <v>331</v>
      </c>
      <c r="C198" s="18" t="n">
        <v>384</v>
      </c>
      <c r="D198" s="18" t="n">
        <v>119</v>
      </c>
      <c r="E198" s="18" t="s">
        <v>158</v>
      </c>
      <c r="F198" s="18" t="s">
        <v>180</v>
      </c>
      <c r="G198" s="18" t="n">
        <f aca="false">IF(D198="",0,D198)</f>
        <v>119</v>
      </c>
    </row>
    <row r="199" customFormat="false" ht="15" hidden="false" customHeight="true" outlineLevel="0" collapsed="false">
      <c r="A199" s="18" t="s">
        <v>206</v>
      </c>
      <c r="B199" s="18" t="s">
        <v>332</v>
      </c>
      <c r="C199" s="18" t="n">
        <v>429</v>
      </c>
      <c r="D199" s="18" t="n">
        <v>32</v>
      </c>
      <c r="E199" s="18" t="s">
        <v>253</v>
      </c>
      <c r="F199" s="18" t="s">
        <v>180</v>
      </c>
      <c r="G199" s="18" t="n">
        <f aca="false">IF(D199="",0,D199)</f>
        <v>32</v>
      </c>
    </row>
    <row r="200" customFormat="false" ht="15" hidden="false" customHeight="true" outlineLevel="0" collapsed="false">
      <c r="A200" s="18" t="s">
        <v>206</v>
      </c>
      <c r="B200" s="18" t="s">
        <v>333</v>
      </c>
      <c r="C200" s="18" t="n">
        <v>455</v>
      </c>
      <c r="D200" s="18" t="n">
        <v>136</v>
      </c>
      <c r="E200" s="18" t="s">
        <v>158</v>
      </c>
      <c r="F200" s="18" t="s">
        <v>180</v>
      </c>
      <c r="G200" s="18" t="n">
        <f aca="false">IF(D200="",0,D200)</f>
        <v>136</v>
      </c>
    </row>
    <row r="201" customFormat="false" ht="15" hidden="false" customHeight="true" outlineLevel="0" collapsed="false">
      <c r="A201" s="18" t="s">
        <v>206</v>
      </c>
      <c r="B201" s="18" t="s">
        <v>334</v>
      </c>
      <c r="C201" s="18" t="n">
        <v>329</v>
      </c>
      <c r="D201" s="18" t="n">
        <v>40</v>
      </c>
      <c r="E201" s="18" t="s">
        <v>253</v>
      </c>
      <c r="F201" s="18" t="s">
        <v>180</v>
      </c>
      <c r="G201" s="18" t="n">
        <f aca="false">IF(D201="",0,D201)</f>
        <v>40</v>
      </c>
    </row>
    <row r="202" customFormat="false" ht="15" hidden="false" customHeight="true" outlineLevel="0" collapsed="false">
      <c r="A202" s="18" t="s">
        <v>206</v>
      </c>
      <c r="B202" s="18" t="s">
        <v>335</v>
      </c>
      <c r="C202" s="18" t="n">
        <v>342</v>
      </c>
      <c r="D202" s="18" t="n">
        <v>94</v>
      </c>
      <c r="E202" s="18" t="s">
        <v>253</v>
      </c>
      <c r="F202" s="18" t="s">
        <v>180</v>
      </c>
      <c r="G202" s="18" t="n">
        <f aca="false">IF(D202="",0,D202)</f>
        <v>94</v>
      </c>
    </row>
    <row r="203" customFormat="false" ht="15" hidden="false" customHeight="true" outlineLevel="0" collapsed="false">
      <c r="A203" s="18" t="s">
        <v>206</v>
      </c>
      <c r="B203" s="18" t="s">
        <v>336</v>
      </c>
      <c r="C203" s="18" t="n">
        <v>376</v>
      </c>
      <c r="D203" s="18" t="n">
        <v>162</v>
      </c>
      <c r="E203" s="18" t="s">
        <v>177</v>
      </c>
      <c r="F203" s="18" t="s">
        <v>180</v>
      </c>
      <c r="G203" s="18" t="n">
        <f aca="false">IF(D203="",0,D203)</f>
        <v>162</v>
      </c>
    </row>
    <row r="204" customFormat="false" ht="15" hidden="false" customHeight="true" outlineLevel="0" collapsed="false">
      <c r="A204" s="18" t="s">
        <v>206</v>
      </c>
      <c r="B204" s="18" t="s">
        <v>337</v>
      </c>
      <c r="C204" s="18" t="n">
        <v>422</v>
      </c>
      <c r="D204" s="18" t="n">
        <v>84</v>
      </c>
      <c r="E204" s="18" t="s">
        <v>253</v>
      </c>
      <c r="F204" s="18" t="s">
        <v>180</v>
      </c>
      <c r="G204" s="18" t="n">
        <f aca="false">IF(D204="",0,D204)</f>
        <v>84</v>
      </c>
    </row>
    <row r="205" customFormat="false" ht="15" hidden="false" customHeight="true" outlineLevel="0" collapsed="false">
      <c r="A205" s="18" t="s">
        <v>206</v>
      </c>
      <c r="B205" s="18" t="s">
        <v>338</v>
      </c>
      <c r="C205" s="18" t="n">
        <v>412</v>
      </c>
      <c r="D205" s="18"/>
      <c r="E205" s="18" t="s">
        <v>158</v>
      </c>
      <c r="F205" s="18" t="s">
        <v>180</v>
      </c>
      <c r="G205" s="18" t="n">
        <f aca="false">IF(D205="",0,D205)</f>
        <v>0</v>
      </c>
    </row>
    <row r="206" customFormat="false" ht="15" hidden="false" customHeight="true" outlineLevel="0" collapsed="false">
      <c r="A206" s="18" t="s">
        <v>208</v>
      </c>
      <c r="B206" s="18" t="s">
        <v>327</v>
      </c>
      <c r="C206" s="18" t="n">
        <v>1354</v>
      </c>
      <c r="D206" s="18" t="n">
        <v>73</v>
      </c>
      <c r="E206" s="18" t="s">
        <v>162</v>
      </c>
      <c r="F206" s="18" t="s">
        <v>159</v>
      </c>
      <c r="G206" s="18" t="n">
        <f aca="false">IF(D206="",0,D206)</f>
        <v>73</v>
      </c>
    </row>
    <row r="207" customFormat="false" ht="15" hidden="false" customHeight="true" outlineLevel="0" collapsed="false">
      <c r="A207" s="18" t="s">
        <v>208</v>
      </c>
      <c r="B207" s="18" t="s">
        <v>328</v>
      </c>
      <c r="C207" s="18" t="n">
        <v>1086</v>
      </c>
      <c r="D207" s="18" t="n">
        <v>281</v>
      </c>
      <c r="E207" s="18" t="s">
        <v>162</v>
      </c>
      <c r="F207" s="18" t="s">
        <v>159</v>
      </c>
      <c r="G207" s="18" t="n">
        <f aca="false">IF(D207="",0,D207)</f>
        <v>281</v>
      </c>
    </row>
    <row r="208" customFormat="false" ht="15" hidden="false" customHeight="true" outlineLevel="0" collapsed="false">
      <c r="A208" s="18" t="s">
        <v>208</v>
      </c>
      <c r="B208" s="18" t="s">
        <v>329</v>
      </c>
      <c r="C208" s="18" t="n">
        <v>1187</v>
      </c>
      <c r="D208" s="18" t="n">
        <v>90</v>
      </c>
      <c r="E208" s="18" t="s">
        <v>162</v>
      </c>
      <c r="F208" s="18" t="s">
        <v>159</v>
      </c>
      <c r="G208" s="18" t="n">
        <f aca="false">IF(D208="",0,D208)</f>
        <v>90</v>
      </c>
    </row>
    <row r="209" customFormat="false" ht="15" hidden="false" customHeight="true" outlineLevel="0" collapsed="false">
      <c r="A209" s="18" t="s">
        <v>208</v>
      </c>
      <c r="B209" s="18" t="s">
        <v>330</v>
      </c>
      <c r="C209" s="18" t="n">
        <v>1118</v>
      </c>
      <c r="D209" s="18" t="n">
        <v>58</v>
      </c>
      <c r="E209" s="18" t="s">
        <v>187</v>
      </c>
      <c r="F209" s="18" t="s">
        <v>159</v>
      </c>
      <c r="G209" s="18" t="n">
        <f aca="false">IF(D209="",0,D209)</f>
        <v>58</v>
      </c>
    </row>
    <row r="210" customFormat="false" ht="15" hidden="false" customHeight="true" outlineLevel="0" collapsed="false">
      <c r="A210" s="18" t="s">
        <v>208</v>
      </c>
      <c r="B210" s="18" t="s">
        <v>331</v>
      </c>
      <c r="C210" s="18" t="n">
        <v>1272</v>
      </c>
      <c r="D210" s="18" t="n">
        <v>44</v>
      </c>
      <c r="E210" s="18" t="s">
        <v>166</v>
      </c>
      <c r="F210" s="18" t="s">
        <v>159</v>
      </c>
      <c r="G210" s="18" t="n">
        <f aca="false">IF(D210="",0,D210)</f>
        <v>44</v>
      </c>
    </row>
    <row r="211" customFormat="false" ht="15" hidden="false" customHeight="true" outlineLevel="0" collapsed="false">
      <c r="A211" s="18" t="s">
        <v>208</v>
      </c>
      <c r="B211" s="18" t="s">
        <v>332</v>
      </c>
      <c r="C211" s="18" t="n">
        <v>1154</v>
      </c>
      <c r="D211" s="18" t="n">
        <v>202</v>
      </c>
      <c r="E211" s="18" t="s">
        <v>166</v>
      </c>
      <c r="F211" s="18" t="s">
        <v>159</v>
      </c>
      <c r="G211" s="18" t="n">
        <f aca="false">IF(D211="",0,D211)</f>
        <v>202</v>
      </c>
    </row>
    <row r="212" customFormat="false" ht="15" hidden="false" customHeight="true" outlineLevel="0" collapsed="false">
      <c r="A212" s="18" t="s">
        <v>208</v>
      </c>
      <c r="B212" s="18" t="s">
        <v>333</v>
      </c>
      <c r="C212" s="18" t="n">
        <v>1069</v>
      </c>
      <c r="D212" s="18" t="n">
        <v>111</v>
      </c>
      <c r="E212" s="18" t="s">
        <v>187</v>
      </c>
      <c r="F212" s="18" t="s">
        <v>159</v>
      </c>
      <c r="G212" s="18" t="n">
        <f aca="false">IF(D212="",0,D212)</f>
        <v>111</v>
      </c>
    </row>
    <row r="213" customFormat="false" ht="15" hidden="false" customHeight="true" outlineLevel="0" collapsed="false">
      <c r="A213" s="18" t="s">
        <v>208</v>
      </c>
      <c r="B213" s="18" t="s">
        <v>334</v>
      </c>
      <c r="C213" s="18" t="n">
        <v>1672</v>
      </c>
      <c r="D213" s="18" t="n">
        <v>229</v>
      </c>
      <c r="E213" s="18" t="s">
        <v>162</v>
      </c>
      <c r="F213" s="18" t="s">
        <v>159</v>
      </c>
      <c r="G213" s="18" t="n">
        <f aca="false">IF(D213="",0,D213)</f>
        <v>229</v>
      </c>
    </row>
    <row r="214" customFormat="false" ht="15" hidden="false" customHeight="true" outlineLevel="0" collapsed="false">
      <c r="A214" s="18" t="s">
        <v>208</v>
      </c>
      <c r="B214" s="18" t="s">
        <v>335</v>
      </c>
      <c r="C214" s="18" t="n">
        <v>1337</v>
      </c>
      <c r="D214" s="18" t="n">
        <v>126</v>
      </c>
      <c r="E214" s="18" t="s">
        <v>194</v>
      </c>
      <c r="F214" s="18" t="s">
        <v>159</v>
      </c>
      <c r="G214" s="18" t="n">
        <f aca="false">IF(D214="",0,D214)</f>
        <v>126</v>
      </c>
    </row>
    <row r="215" customFormat="false" ht="15" hidden="false" customHeight="true" outlineLevel="0" collapsed="false">
      <c r="A215" s="18" t="s">
        <v>208</v>
      </c>
      <c r="B215" s="18" t="s">
        <v>336</v>
      </c>
      <c r="C215" s="18" t="n">
        <v>1339</v>
      </c>
      <c r="D215" s="18" t="n">
        <v>82</v>
      </c>
      <c r="E215" s="18" t="s">
        <v>194</v>
      </c>
      <c r="F215" s="18" t="s">
        <v>159</v>
      </c>
      <c r="G215" s="18" t="n">
        <f aca="false">IF(D215="",0,D215)</f>
        <v>82</v>
      </c>
    </row>
    <row r="216" customFormat="false" ht="15" hidden="false" customHeight="true" outlineLevel="0" collapsed="false">
      <c r="A216" s="18" t="s">
        <v>208</v>
      </c>
      <c r="B216" s="18" t="s">
        <v>337</v>
      </c>
      <c r="C216" s="18" t="n">
        <v>1214</v>
      </c>
      <c r="D216" s="18" t="n">
        <v>64</v>
      </c>
      <c r="E216" s="18" t="s">
        <v>194</v>
      </c>
      <c r="F216" s="18" t="s">
        <v>159</v>
      </c>
      <c r="G216" s="18" t="n">
        <f aca="false">IF(D216="",0,D216)</f>
        <v>64</v>
      </c>
    </row>
    <row r="217" customFormat="false" ht="15" hidden="false" customHeight="true" outlineLevel="0" collapsed="false">
      <c r="A217" s="18" t="s">
        <v>208</v>
      </c>
      <c r="B217" s="18" t="s">
        <v>338</v>
      </c>
      <c r="C217" s="18" t="n">
        <v>1268</v>
      </c>
      <c r="D217" s="18"/>
      <c r="E217" s="18" t="s">
        <v>166</v>
      </c>
      <c r="F217" s="18" t="s">
        <v>159</v>
      </c>
      <c r="G217" s="18" t="n">
        <f aca="false">IF(D217="",0,D217)</f>
        <v>0</v>
      </c>
    </row>
    <row r="218" customFormat="false" ht="15" hidden="false" customHeight="true" outlineLevel="0" collapsed="false">
      <c r="A218" s="18" t="s">
        <v>210</v>
      </c>
      <c r="B218" s="18" t="s">
        <v>327</v>
      </c>
      <c r="C218" s="18" t="n">
        <v>869</v>
      </c>
      <c r="D218" s="18" t="n">
        <v>105</v>
      </c>
      <c r="E218" s="18" t="s">
        <v>166</v>
      </c>
      <c r="F218" s="18" t="s">
        <v>159</v>
      </c>
      <c r="G218" s="18" t="n">
        <f aca="false">IF(D218="",0,D218)</f>
        <v>105</v>
      </c>
    </row>
    <row r="219" customFormat="false" ht="15" hidden="false" customHeight="true" outlineLevel="0" collapsed="false">
      <c r="A219" s="18" t="s">
        <v>210</v>
      </c>
      <c r="B219" s="18" t="s">
        <v>328</v>
      </c>
      <c r="C219" s="18" t="n">
        <v>1058</v>
      </c>
      <c r="D219" s="18" t="n">
        <v>132</v>
      </c>
      <c r="E219" s="18" t="s">
        <v>162</v>
      </c>
      <c r="F219" s="18" t="s">
        <v>159</v>
      </c>
      <c r="G219" s="18" t="n">
        <f aca="false">IF(D219="",0,D219)</f>
        <v>132</v>
      </c>
    </row>
    <row r="220" customFormat="false" ht="15" hidden="false" customHeight="true" outlineLevel="0" collapsed="false">
      <c r="A220" s="18" t="s">
        <v>210</v>
      </c>
      <c r="B220" s="18" t="s">
        <v>329</v>
      </c>
      <c r="C220" s="18" t="n">
        <v>1019</v>
      </c>
      <c r="D220" s="18" t="n">
        <v>299</v>
      </c>
      <c r="E220" s="18" t="s">
        <v>166</v>
      </c>
      <c r="F220" s="18" t="s">
        <v>159</v>
      </c>
      <c r="G220" s="18" t="n">
        <f aca="false">IF(D220="",0,D220)</f>
        <v>299</v>
      </c>
    </row>
    <row r="221" customFormat="false" ht="15" hidden="false" customHeight="true" outlineLevel="0" collapsed="false">
      <c r="A221" s="18" t="s">
        <v>210</v>
      </c>
      <c r="B221" s="18" t="s">
        <v>330</v>
      </c>
      <c r="C221" s="18" t="n">
        <v>950</v>
      </c>
      <c r="D221" s="18" t="n">
        <v>8</v>
      </c>
      <c r="E221" s="18" t="s">
        <v>166</v>
      </c>
      <c r="F221" s="18" t="s">
        <v>159</v>
      </c>
      <c r="G221" s="18" t="n">
        <f aca="false">IF(D221="",0,D221)</f>
        <v>8</v>
      </c>
    </row>
    <row r="222" customFormat="false" ht="15" hidden="false" customHeight="true" outlineLevel="0" collapsed="false">
      <c r="A222" s="18" t="s">
        <v>210</v>
      </c>
      <c r="B222" s="18" t="s">
        <v>331</v>
      </c>
      <c r="C222" s="18" t="n">
        <v>888</v>
      </c>
      <c r="D222" s="18" t="n">
        <v>104</v>
      </c>
      <c r="E222" s="18" t="s">
        <v>187</v>
      </c>
      <c r="F222" s="18" t="s">
        <v>159</v>
      </c>
      <c r="G222" s="18" t="n">
        <f aca="false">IF(D222="",0,D222)</f>
        <v>104</v>
      </c>
    </row>
    <row r="223" customFormat="false" ht="15" hidden="false" customHeight="true" outlineLevel="0" collapsed="false">
      <c r="A223" s="18" t="s">
        <v>210</v>
      </c>
      <c r="B223" s="18" t="s">
        <v>332</v>
      </c>
      <c r="C223" s="18" t="n">
        <v>1100</v>
      </c>
      <c r="D223" s="18" t="n">
        <v>221</v>
      </c>
      <c r="E223" s="18" t="s">
        <v>166</v>
      </c>
      <c r="F223" s="18" t="s">
        <v>159</v>
      </c>
      <c r="G223" s="18" t="n">
        <f aca="false">IF(D223="",0,D223)</f>
        <v>221</v>
      </c>
    </row>
    <row r="224" customFormat="false" ht="15" hidden="false" customHeight="true" outlineLevel="0" collapsed="false">
      <c r="A224" s="18" t="s">
        <v>210</v>
      </c>
      <c r="B224" s="18" t="s">
        <v>333</v>
      </c>
      <c r="C224" s="18" t="n">
        <v>705</v>
      </c>
      <c r="D224" s="18" t="n">
        <v>217</v>
      </c>
      <c r="E224" s="18" t="s">
        <v>166</v>
      </c>
      <c r="F224" s="18" t="s">
        <v>159</v>
      </c>
      <c r="G224" s="18" t="n">
        <f aca="false">IF(D224="",0,D224)</f>
        <v>217</v>
      </c>
    </row>
    <row r="225" customFormat="false" ht="15" hidden="false" customHeight="true" outlineLevel="0" collapsed="false">
      <c r="A225" s="18" t="s">
        <v>210</v>
      </c>
      <c r="B225" s="18" t="s">
        <v>334</v>
      </c>
      <c r="C225" s="18" t="n">
        <v>670</v>
      </c>
      <c r="D225" s="18" t="n">
        <v>225</v>
      </c>
      <c r="E225" s="18" t="s">
        <v>187</v>
      </c>
      <c r="F225" s="18" t="s">
        <v>159</v>
      </c>
      <c r="G225" s="18" t="n">
        <f aca="false">IF(D225="",0,D225)</f>
        <v>225</v>
      </c>
    </row>
    <row r="226" customFormat="false" ht="15" hidden="false" customHeight="true" outlineLevel="0" collapsed="false">
      <c r="A226" s="18" t="s">
        <v>210</v>
      </c>
      <c r="B226" s="18" t="s">
        <v>335</v>
      </c>
      <c r="C226" s="18" t="n">
        <v>945</v>
      </c>
      <c r="D226" s="18" t="n">
        <v>15</v>
      </c>
      <c r="E226" s="18" t="s">
        <v>194</v>
      </c>
      <c r="F226" s="18" t="s">
        <v>159</v>
      </c>
      <c r="G226" s="18" t="n">
        <f aca="false">IF(D226="",0,D226)</f>
        <v>15</v>
      </c>
    </row>
    <row r="227" customFormat="false" ht="15" hidden="false" customHeight="true" outlineLevel="0" collapsed="false">
      <c r="A227" s="18" t="s">
        <v>210</v>
      </c>
      <c r="B227" s="18" t="s">
        <v>336</v>
      </c>
      <c r="C227" s="18" t="n">
        <v>758</v>
      </c>
      <c r="D227" s="18" t="n">
        <v>353</v>
      </c>
      <c r="E227" s="18" t="s">
        <v>162</v>
      </c>
      <c r="F227" s="18" t="s">
        <v>159</v>
      </c>
      <c r="G227" s="18" t="n">
        <f aca="false">IF(D227="",0,D227)</f>
        <v>353</v>
      </c>
    </row>
    <row r="228" customFormat="false" ht="15" hidden="false" customHeight="true" outlineLevel="0" collapsed="false">
      <c r="A228" s="18" t="s">
        <v>210</v>
      </c>
      <c r="B228" s="18" t="s">
        <v>337</v>
      </c>
      <c r="C228" s="18" t="n">
        <v>761</v>
      </c>
      <c r="D228" s="18" t="n">
        <v>316</v>
      </c>
      <c r="E228" s="18" t="s">
        <v>194</v>
      </c>
      <c r="F228" s="18" t="s">
        <v>159</v>
      </c>
      <c r="G228" s="18" t="n">
        <f aca="false">IF(D228="",0,D228)</f>
        <v>316</v>
      </c>
    </row>
    <row r="229" customFormat="false" ht="15" hidden="false" customHeight="true" outlineLevel="0" collapsed="false">
      <c r="A229" s="18" t="s">
        <v>210</v>
      </c>
      <c r="B229" s="18" t="s">
        <v>338</v>
      </c>
      <c r="C229" s="18" t="n">
        <v>671</v>
      </c>
      <c r="D229" s="18"/>
      <c r="E229" s="18" t="s">
        <v>166</v>
      </c>
      <c r="F229" s="18" t="s">
        <v>159</v>
      </c>
      <c r="G229" s="18" t="n">
        <f aca="false">IF(D229="",0,D229)</f>
        <v>0</v>
      </c>
    </row>
    <row r="230" customFormat="false" ht="15" hidden="false" customHeight="true" outlineLevel="0" collapsed="false">
      <c r="A230" s="18" t="s">
        <v>213</v>
      </c>
      <c r="B230" s="18" t="s">
        <v>327</v>
      </c>
      <c r="C230" s="18" t="n">
        <v>1711</v>
      </c>
      <c r="D230" s="18" t="n">
        <v>425</v>
      </c>
      <c r="E230" s="18" t="s">
        <v>170</v>
      </c>
      <c r="F230" s="18" t="s">
        <v>159</v>
      </c>
      <c r="G230" s="18" t="n">
        <f aca="false">IF(D230="",0,D230)</f>
        <v>425</v>
      </c>
    </row>
    <row r="231" customFormat="false" ht="15" hidden="false" customHeight="true" outlineLevel="0" collapsed="false">
      <c r="A231" s="18" t="s">
        <v>213</v>
      </c>
      <c r="B231" s="18" t="s">
        <v>328</v>
      </c>
      <c r="C231" s="18" t="n">
        <v>1980</v>
      </c>
      <c r="D231" s="18" t="n">
        <v>221</v>
      </c>
      <c r="E231" s="18" t="s">
        <v>225</v>
      </c>
      <c r="F231" s="18" t="s">
        <v>159</v>
      </c>
      <c r="G231" s="18" t="n">
        <f aca="false">IF(D231="",0,D231)</f>
        <v>221</v>
      </c>
    </row>
    <row r="232" customFormat="false" ht="15" hidden="false" customHeight="true" outlineLevel="0" collapsed="false">
      <c r="A232" s="18" t="s">
        <v>213</v>
      </c>
      <c r="B232" s="18" t="s">
        <v>329</v>
      </c>
      <c r="C232" s="18" t="n">
        <v>1805</v>
      </c>
      <c r="D232" s="18"/>
      <c r="E232" s="18" t="s">
        <v>169</v>
      </c>
      <c r="F232" s="18" t="s">
        <v>159</v>
      </c>
      <c r="G232" s="18" t="n">
        <f aca="false">IF(D232="",0,D232)</f>
        <v>0</v>
      </c>
    </row>
    <row r="233" customFormat="false" ht="15" hidden="false" customHeight="true" outlineLevel="0" collapsed="false">
      <c r="A233" s="18" t="s">
        <v>213</v>
      </c>
      <c r="B233" s="18" t="s">
        <v>330</v>
      </c>
      <c r="C233" s="18" t="n">
        <v>1369</v>
      </c>
      <c r="D233" s="18"/>
      <c r="E233" s="18" t="s">
        <v>225</v>
      </c>
      <c r="F233" s="18" t="s">
        <v>159</v>
      </c>
      <c r="G233" s="18" t="n">
        <f aca="false">IF(D233="",0,D233)</f>
        <v>0</v>
      </c>
    </row>
    <row r="234" customFormat="false" ht="15" hidden="false" customHeight="true" outlineLevel="0" collapsed="false">
      <c r="A234" s="18" t="s">
        <v>213</v>
      </c>
      <c r="B234" s="18" t="s">
        <v>331</v>
      </c>
      <c r="C234" s="18" t="n">
        <v>1737</v>
      </c>
      <c r="D234" s="18" t="n">
        <v>138</v>
      </c>
      <c r="E234" s="18" t="s">
        <v>170</v>
      </c>
      <c r="F234" s="18" t="s">
        <v>159</v>
      </c>
      <c r="G234" s="18" t="n">
        <f aca="false">IF(D234="",0,D234)</f>
        <v>138</v>
      </c>
    </row>
    <row r="235" customFormat="false" ht="15" hidden="false" customHeight="true" outlineLevel="0" collapsed="false">
      <c r="A235" s="18" t="s">
        <v>213</v>
      </c>
      <c r="B235" s="18" t="s">
        <v>332</v>
      </c>
      <c r="C235" s="18" t="n">
        <v>2083</v>
      </c>
      <c r="D235" s="18" t="n">
        <v>190</v>
      </c>
      <c r="E235" s="18" t="s">
        <v>225</v>
      </c>
      <c r="F235" s="18" t="s">
        <v>159</v>
      </c>
      <c r="G235" s="18" t="n">
        <f aca="false">IF(D235="",0,D235)</f>
        <v>190</v>
      </c>
    </row>
    <row r="236" customFormat="false" ht="15" hidden="false" customHeight="true" outlineLevel="0" collapsed="false">
      <c r="A236" s="18" t="s">
        <v>213</v>
      </c>
      <c r="B236" s="18" t="s">
        <v>333</v>
      </c>
      <c r="C236" s="18" t="n">
        <v>1516</v>
      </c>
      <c r="D236" s="18" t="n">
        <v>57</v>
      </c>
      <c r="E236" s="18" t="s">
        <v>225</v>
      </c>
      <c r="F236" s="18" t="s">
        <v>159</v>
      </c>
      <c r="G236" s="18" t="n">
        <f aca="false">IF(D236="",0,D236)</f>
        <v>57</v>
      </c>
    </row>
    <row r="237" customFormat="false" ht="15" hidden="false" customHeight="true" outlineLevel="0" collapsed="false">
      <c r="A237" s="18" t="s">
        <v>213</v>
      </c>
      <c r="B237" s="18" t="s">
        <v>334</v>
      </c>
      <c r="C237" s="18" t="n">
        <v>1863</v>
      </c>
      <c r="D237" s="18" t="n">
        <v>383</v>
      </c>
      <c r="E237" s="18" t="s">
        <v>169</v>
      </c>
      <c r="F237" s="18" t="s">
        <v>159</v>
      </c>
      <c r="G237" s="18" t="n">
        <f aca="false">IF(D237="",0,D237)</f>
        <v>383</v>
      </c>
    </row>
    <row r="238" customFormat="false" ht="15" hidden="false" customHeight="true" outlineLevel="0" collapsed="false">
      <c r="A238" s="18" t="s">
        <v>213</v>
      </c>
      <c r="B238" s="18" t="s">
        <v>335</v>
      </c>
      <c r="C238" s="18" t="n">
        <v>1202</v>
      </c>
      <c r="D238" s="18" t="n">
        <v>2</v>
      </c>
      <c r="E238" s="18" t="s">
        <v>170</v>
      </c>
      <c r="F238" s="18" t="s">
        <v>159</v>
      </c>
      <c r="G238" s="18" t="n">
        <f aca="false">IF(D238="",0,D238)</f>
        <v>2</v>
      </c>
    </row>
    <row r="239" customFormat="false" ht="15" hidden="false" customHeight="true" outlineLevel="0" collapsed="false">
      <c r="A239" s="18" t="s">
        <v>213</v>
      </c>
      <c r="B239" s="18" t="s">
        <v>336</v>
      </c>
      <c r="C239" s="18" t="n">
        <v>1677</v>
      </c>
      <c r="D239" s="18" t="n">
        <v>176</v>
      </c>
      <c r="E239" s="18" t="s">
        <v>225</v>
      </c>
      <c r="F239" s="18" t="s">
        <v>159</v>
      </c>
      <c r="G239" s="18" t="n">
        <f aca="false">IF(D239="",0,D239)</f>
        <v>176</v>
      </c>
    </row>
    <row r="240" customFormat="false" ht="15" hidden="false" customHeight="true" outlineLevel="0" collapsed="false">
      <c r="A240" s="18" t="s">
        <v>213</v>
      </c>
      <c r="B240" s="18" t="s">
        <v>337</v>
      </c>
      <c r="C240" s="18" t="n">
        <v>1208</v>
      </c>
      <c r="D240" s="18" t="n">
        <v>10</v>
      </c>
      <c r="E240" s="18" t="s">
        <v>170</v>
      </c>
      <c r="F240" s="18" t="s">
        <v>159</v>
      </c>
      <c r="G240" s="18" t="n">
        <f aca="false">IF(D240="",0,D240)</f>
        <v>10</v>
      </c>
    </row>
    <row r="241" customFormat="false" ht="15" hidden="false" customHeight="true" outlineLevel="0" collapsed="false">
      <c r="A241" s="18" t="s">
        <v>213</v>
      </c>
      <c r="B241" s="18" t="s">
        <v>338</v>
      </c>
      <c r="C241" s="18" t="n">
        <v>2039</v>
      </c>
      <c r="D241" s="18" t="n">
        <v>278</v>
      </c>
      <c r="E241" s="18" t="s">
        <v>170</v>
      </c>
      <c r="F241" s="18" t="s">
        <v>159</v>
      </c>
      <c r="G241" s="18" t="n">
        <f aca="false">IF(D241="",0,D241)</f>
        <v>278</v>
      </c>
    </row>
    <row r="242" customFormat="false" ht="15" hidden="false" customHeight="true" outlineLevel="0" collapsed="false">
      <c r="A242" s="18" t="s">
        <v>215</v>
      </c>
      <c r="B242" s="18" t="s">
        <v>327</v>
      </c>
      <c r="C242" s="18" t="n">
        <v>410</v>
      </c>
      <c r="D242" s="18" t="n">
        <v>82</v>
      </c>
      <c r="E242" s="18" t="s">
        <v>187</v>
      </c>
      <c r="F242" s="18" t="s">
        <v>180</v>
      </c>
      <c r="G242" s="18" t="n">
        <f aca="false">IF(D242="",0,D242)</f>
        <v>82</v>
      </c>
    </row>
    <row r="243" customFormat="false" ht="15" hidden="false" customHeight="true" outlineLevel="0" collapsed="false">
      <c r="A243" s="18" t="s">
        <v>215</v>
      </c>
      <c r="B243" s="18" t="s">
        <v>328</v>
      </c>
      <c r="C243" s="18" t="n">
        <v>384</v>
      </c>
      <c r="D243" s="18" t="n">
        <v>48</v>
      </c>
      <c r="E243" s="18" t="s">
        <v>187</v>
      </c>
      <c r="F243" s="18" t="s">
        <v>180</v>
      </c>
      <c r="G243" s="18" t="n">
        <f aca="false">IF(D243="",0,D243)</f>
        <v>48</v>
      </c>
    </row>
    <row r="244" customFormat="false" ht="15" hidden="false" customHeight="true" outlineLevel="0" collapsed="false">
      <c r="A244" s="18" t="s">
        <v>215</v>
      </c>
      <c r="B244" s="18" t="s">
        <v>329</v>
      </c>
      <c r="C244" s="18" t="n">
        <v>325</v>
      </c>
      <c r="D244" s="18" t="n">
        <v>4</v>
      </c>
      <c r="E244" s="18" t="s">
        <v>162</v>
      </c>
      <c r="F244" s="18" t="s">
        <v>180</v>
      </c>
      <c r="G244" s="18" t="n">
        <f aca="false">IF(D244="",0,D244)</f>
        <v>4</v>
      </c>
    </row>
    <row r="245" customFormat="false" ht="15" hidden="false" customHeight="true" outlineLevel="0" collapsed="false">
      <c r="A245" s="18" t="s">
        <v>215</v>
      </c>
      <c r="B245" s="18" t="s">
        <v>330</v>
      </c>
      <c r="C245" s="18" t="n">
        <v>0</v>
      </c>
      <c r="D245" s="18" t="n">
        <v>13</v>
      </c>
      <c r="E245" s="18" t="s">
        <v>187</v>
      </c>
      <c r="F245" s="18" t="s">
        <v>180</v>
      </c>
      <c r="G245" s="18" t="n">
        <f aca="false">IF(D245="",0,D245)</f>
        <v>13</v>
      </c>
    </row>
    <row r="246" customFormat="false" ht="15" hidden="false" customHeight="true" outlineLevel="0" collapsed="false">
      <c r="A246" s="18" t="s">
        <v>215</v>
      </c>
      <c r="B246" s="18" t="s">
        <v>331</v>
      </c>
      <c r="C246" s="18" t="n">
        <v>282</v>
      </c>
      <c r="D246" s="18" t="n">
        <v>168</v>
      </c>
      <c r="E246" s="18" t="s">
        <v>162</v>
      </c>
      <c r="F246" s="18" t="s">
        <v>180</v>
      </c>
      <c r="G246" s="18" t="n">
        <f aca="false">IF(D246="",0,D246)</f>
        <v>168</v>
      </c>
    </row>
    <row r="247" customFormat="false" ht="15" hidden="false" customHeight="true" outlineLevel="0" collapsed="false">
      <c r="A247" s="18" t="s">
        <v>215</v>
      </c>
      <c r="B247" s="18" t="s">
        <v>332</v>
      </c>
      <c r="C247" s="18" t="n">
        <v>323</v>
      </c>
      <c r="D247" s="18" t="n">
        <v>7</v>
      </c>
      <c r="E247" s="18" t="s">
        <v>194</v>
      </c>
      <c r="F247" s="18" t="s">
        <v>180</v>
      </c>
      <c r="G247" s="18" t="n">
        <f aca="false">IF(D247="",0,D247)</f>
        <v>7</v>
      </c>
    </row>
    <row r="248" customFormat="false" ht="15" hidden="false" customHeight="true" outlineLevel="0" collapsed="false">
      <c r="A248" s="18" t="s">
        <v>215</v>
      </c>
      <c r="B248" s="18" t="s">
        <v>333</v>
      </c>
      <c r="C248" s="18" t="n">
        <v>254</v>
      </c>
      <c r="D248" s="18" t="n">
        <v>18</v>
      </c>
      <c r="E248" s="18" t="s">
        <v>194</v>
      </c>
      <c r="F248" s="18" t="s">
        <v>180</v>
      </c>
      <c r="G248" s="18" t="n">
        <f aca="false">IF(D248="",0,D248)</f>
        <v>18</v>
      </c>
    </row>
    <row r="249" customFormat="false" ht="15" hidden="false" customHeight="true" outlineLevel="0" collapsed="false">
      <c r="A249" s="18" t="s">
        <v>215</v>
      </c>
      <c r="B249" s="18" t="s">
        <v>334</v>
      </c>
      <c r="C249" s="18" t="n">
        <v>0</v>
      </c>
      <c r="D249" s="18" t="n">
        <v>82</v>
      </c>
      <c r="E249" s="18" t="s">
        <v>166</v>
      </c>
      <c r="F249" s="18" t="s">
        <v>180</v>
      </c>
      <c r="G249" s="18" t="n">
        <f aca="false">IF(D249="",0,D249)</f>
        <v>82</v>
      </c>
    </row>
    <row r="250" customFormat="false" ht="15" hidden="false" customHeight="true" outlineLevel="0" collapsed="false">
      <c r="A250" s="18" t="s">
        <v>215</v>
      </c>
      <c r="B250" s="18" t="s">
        <v>335</v>
      </c>
      <c r="C250" s="18" t="n">
        <v>0</v>
      </c>
      <c r="D250" s="18" t="n">
        <v>44</v>
      </c>
      <c r="E250" s="18" t="s">
        <v>162</v>
      </c>
      <c r="F250" s="18" t="s">
        <v>180</v>
      </c>
      <c r="G250" s="18" t="n">
        <f aca="false">IF(D250="",0,D250)</f>
        <v>44</v>
      </c>
    </row>
    <row r="251" customFormat="false" ht="15" hidden="false" customHeight="true" outlineLevel="0" collapsed="false">
      <c r="A251" s="18" t="s">
        <v>215</v>
      </c>
      <c r="B251" s="18" t="s">
        <v>336</v>
      </c>
      <c r="C251" s="18" t="n">
        <v>417</v>
      </c>
      <c r="D251" s="18" t="n">
        <v>75</v>
      </c>
      <c r="E251" s="18" t="s">
        <v>166</v>
      </c>
      <c r="F251" s="18" t="s">
        <v>180</v>
      </c>
      <c r="G251" s="18" t="n">
        <f aca="false">IF(D251="",0,D251)</f>
        <v>75</v>
      </c>
    </row>
    <row r="252" customFormat="false" ht="15" hidden="false" customHeight="true" outlineLevel="0" collapsed="false">
      <c r="A252" s="18" t="s">
        <v>215</v>
      </c>
      <c r="B252" s="18" t="s">
        <v>337</v>
      </c>
      <c r="C252" s="18" t="n">
        <v>270</v>
      </c>
      <c r="D252" s="18" t="n">
        <v>81</v>
      </c>
      <c r="E252" s="18" t="s">
        <v>187</v>
      </c>
      <c r="F252" s="18" t="s">
        <v>180</v>
      </c>
      <c r="G252" s="18" t="n">
        <f aca="false">IF(D252="",0,D252)</f>
        <v>81</v>
      </c>
    </row>
    <row r="253" customFormat="false" ht="15" hidden="false" customHeight="true" outlineLevel="0" collapsed="false">
      <c r="A253" s="18" t="s">
        <v>215</v>
      </c>
      <c r="B253" s="18" t="s">
        <v>338</v>
      </c>
      <c r="C253" s="18" t="n">
        <v>261</v>
      </c>
      <c r="D253" s="18" t="n">
        <v>56</v>
      </c>
      <c r="E253" s="18" t="s">
        <v>166</v>
      </c>
      <c r="F253" s="18" t="s">
        <v>180</v>
      </c>
      <c r="G253" s="18" t="n">
        <f aca="false">IF(D253="",0,D253)</f>
        <v>56</v>
      </c>
    </row>
    <row r="254" customFormat="false" ht="15" hidden="false" customHeight="true" outlineLevel="0" collapsed="false">
      <c r="A254" s="18" t="s">
        <v>219</v>
      </c>
      <c r="B254" s="18" t="s">
        <v>327</v>
      </c>
      <c r="C254" s="18" t="n">
        <v>228</v>
      </c>
      <c r="D254" s="18" t="n">
        <v>14</v>
      </c>
      <c r="E254" s="18" t="s">
        <v>194</v>
      </c>
      <c r="F254" s="18" t="s">
        <v>159</v>
      </c>
      <c r="G254" s="18" t="n">
        <f aca="false">IF(D254="",0,D254)</f>
        <v>14</v>
      </c>
    </row>
    <row r="255" customFormat="false" ht="15" hidden="false" customHeight="true" outlineLevel="0" collapsed="false">
      <c r="A255" s="18" t="s">
        <v>219</v>
      </c>
      <c r="B255" s="18" t="s">
        <v>328</v>
      </c>
      <c r="C255" s="18" t="n">
        <v>224</v>
      </c>
      <c r="D255" s="18"/>
      <c r="E255" s="18" t="s">
        <v>194</v>
      </c>
      <c r="F255" s="18" t="s">
        <v>159</v>
      </c>
      <c r="G255" s="18" t="n">
        <f aca="false">IF(D255="",0,D255)</f>
        <v>0</v>
      </c>
    </row>
    <row r="256" customFormat="false" ht="15" hidden="false" customHeight="true" outlineLevel="0" collapsed="false">
      <c r="A256" s="18" t="s">
        <v>219</v>
      </c>
      <c r="B256" s="18" t="s">
        <v>329</v>
      </c>
      <c r="C256" s="18" t="n">
        <v>261</v>
      </c>
      <c r="D256" s="18" t="n">
        <v>81</v>
      </c>
      <c r="E256" s="18" t="s">
        <v>194</v>
      </c>
      <c r="F256" s="18" t="s">
        <v>159</v>
      </c>
      <c r="G256" s="18" t="n">
        <f aca="false">IF(D256="",0,D256)</f>
        <v>81</v>
      </c>
    </row>
    <row r="257" customFormat="false" ht="15" hidden="false" customHeight="true" outlineLevel="0" collapsed="false">
      <c r="A257" s="18" t="s">
        <v>219</v>
      </c>
      <c r="B257" s="18" t="s">
        <v>330</v>
      </c>
      <c r="C257" s="18" t="n">
        <v>217</v>
      </c>
      <c r="D257" s="18" t="n">
        <v>87</v>
      </c>
      <c r="E257" s="18" t="s">
        <v>194</v>
      </c>
      <c r="F257" s="18" t="s">
        <v>159</v>
      </c>
      <c r="G257" s="18" t="n">
        <f aca="false">IF(D257="",0,D257)</f>
        <v>87</v>
      </c>
    </row>
    <row r="258" customFormat="false" ht="15" hidden="false" customHeight="true" outlineLevel="0" collapsed="false">
      <c r="A258" s="18" t="s">
        <v>219</v>
      </c>
      <c r="B258" s="18" t="s">
        <v>331</v>
      </c>
      <c r="C258" s="18" t="n">
        <v>279</v>
      </c>
      <c r="D258" s="18" t="n">
        <v>7</v>
      </c>
      <c r="E258" s="18" t="s">
        <v>187</v>
      </c>
      <c r="F258" s="18" t="s">
        <v>159</v>
      </c>
      <c r="G258" s="18" t="n">
        <f aca="false">IF(D258="",0,D258)</f>
        <v>7</v>
      </c>
    </row>
    <row r="259" customFormat="false" ht="15" hidden="false" customHeight="true" outlineLevel="0" collapsed="false">
      <c r="A259" s="18" t="s">
        <v>219</v>
      </c>
      <c r="B259" s="18" t="s">
        <v>332</v>
      </c>
      <c r="C259" s="18" t="n">
        <v>277</v>
      </c>
      <c r="D259" s="18" t="n">
        <v>66</v>
      </c>
      <c r="E259" s="18" t="s">
        <v>194</v>
      </c>
      <c r="F259" s="18" t="s">
        <v>159</v>
      </c>
      <c r="G259" s="18" t="n">
        <f aca="false">IF(D259="",0,D259)</f>
        <v>66</v>
      </c>
    </row>
    <row r="260" customFormat="false" ht="15" hidden="false" customHeight="true" outlineLevel="0" collapsed="false">
      <c r="A260" s="18" t="s">
        <v>219</v>
      </c>
      <c r="B260" s="18" t="s">
        <v>333</v>
      </c>
      <c r="C260" s="18" t="n">
        <v>271</v>
      </c>
      <c r="D260" s="18" t="n">
        <v>51</v>
      </c>
      <c r="E260" s="18" t="s">
        <v>166</v>
      </c>
      <c r="F260" s="18" t="s">
        <v>159</v>
      </c>
      <c r="G260" s="18" t="n">
        <f aca="false">IF(D260="",0,D260)</f>
        <v>51</v>
      </c>
    </row>
    <row r="261" customFormat="false" ht="15" hidden="false" customHeight="true" outlineLevel="0" collapsed="false">
      <c r="A261" s="18" t="s">
        <v>219</v>
      </c>
      <c r="B261" s="18" t="s">
        <v>334</v>
      </c>
      <c r="C261" s="18" t="n">
        <v>237</v>
      </c>
      <c r="D261" s="18" t="n">
        <v>24</v>
      </c>
      <c r="E261" s="18" t="s">
        <v>187</v>
      </c>
      <c r="F261" s="18" t="s">
        <v>159</v>
      </c>
      <c r="G261" s="18" t="n">
        <f aca="false">IF(D261="",0,D261)</f>
        <v>24</v>
      </c>
    </row>
    <row r="262" customFormat="false" ht="15" hidden="false" customHeight="true" outlineLevel="0" collapsed="false">
      <c r="A262" s="18" t="s">
        <v>219</v>
      </c>
      <c r="B262" s="18" t="s">
        <v>335</v>
      </c>
      <c r="C262" s="18" t="n">
        <v>200</v>
      </c>
      <c r="D262" s="18" t="n">
        <v>51</v>
      </c>
      <c r="E262" s="18" t="s">
        <v>187</v>
      </c>
      <c r="F262" s="18" t="s">
        <v>159</v>
      </c>
      <c r="G262" s="18" t="n">
        <f aca="false">IF(D262="",0,D262)</f>
        <v>51</v>
      </c>
    </row>
    <row r="263" customFormat="false" ht="15" hidden="false" customHeight="true" outlineLevel="0" collapsed="false">
      <c r="A263" s="18" t="s">
        <v>219</v>
      </c>
      <c r="B263" s="18" t="s">
        <v>336</v>
      </c>
      <c r="C263" s="18" t="n">
        <v>174</v>
      </c>
      <c r="D263" s="18" t="n">
        <v>74</v>
      </c>
      <c r="E263" s="18" t="s">
        <v>166</v>
      </c>
      <c r="F263" s="18" t="s">
        <v>159</v>
      </c>
      <c r="G263" s="18" t="n">
        <f aca="false">IF(D263="",0,D263)</f>
        <v>74</v>
      </c>
    </row>
    <row r="264" customFormat="false" ht="15" hidden="false" customHeight="true" outlineLevel="0" collapsed="false">
      <c r="A264" s="18" t="s">
        <v>219</v>
      </c>
      <c r="B264" s="18" t="s">
        <v>337</v>
      </c>
      <c r="C264" s="18" t="n">
        <v>204</v>
      </c>
      <c r="D264" s="18" t="n">
        <v>116</v>
      </c>
      <c r="E264" s="18" t="s">
        <v>194</v>
      </c>
      <c r="F264" s="18" t="s">
        <v>159</v>
      </c>
      <c r="G264" s="18" t="n">
        <f aca="false">IF(D264="",0,D264)</f>
        <v>116</v>
      </c>
    </row>
    <row r="265" customFormat="false" ht="15" hidden="false" customHeight="true" outlineLevel="0" collapsed="false">
      <c r="A265" s="18" t="s">
        <v>219</v>
      </c>
      <c r="B265" s="18" t="s">
        <v>338</v>
      </c>
      <c r="C265" s="18" t="n">
        <v>262</v>
      </c>
      <c r="D265" s="18" t="n">
        <v>133</v>
      </c>
      <c r="E265" s="18" t="s">
        <v>187</v>
      </c>
      <c r="F265" s="18" t="s">
        <v>159</v>
      </c>
      <c r="G265" s="18" t="n">
        <f aca="false">IF(D265="",0,D265)</f>
        <v>133</v>
      </c>
    </row>
    <row r="266" customFormat="false" ht="15" hidden="false" customHeight="true" outlineLevel="0" collapsed="false">
      <c r="A266" s="18" t="s">
        <v>221</v>
      </c>
      <c r="B266" s="18" t="s">
        <v>327</v>
      </c>
      <c r="C266" s="18" t="n">
        <v>0</v>
      </c>
      <c r="D266" s="18" t="n">
        <v>115</v>
      </c>
      <c r="E266" s="18" t="s">
        <v>170</v>
      </c>
      <c r="F266" s="18" t="s">
        <v>159</v>
      </c>
      <c r="G266" s="18" t="n">
        <f aca="false">IF(D266="",0,D266)</f>
        <v>115</v>
      </c>
    </row>
    <row r="267" customFormat="false" ht="15" hidden="false" customHeight="true" outlineLevel="0" collapsed="false">
      <c r="A267" s="18" t="s">
        <v>221</v>
      </c>
      <c r="B267" s="18" t="s">
        <v>328</v>
      </c>
      <c r="C267" s="18" t="n">
        <v>235</v>
      </c>
      <c r="D267" s="18"/>
      <c r="E267" s="18" t="s">
        <v>225</v>
      </c>
      <c r="F267" s="18" t="s">
        <v>159</v>
      </c>
      <c r="G267" s="18" t="n">
        <f aca="false">IF(D267="",0,D267)</f>
        <v>0</v>
      </c>
    </row>
    <row r="268" customFormat="false" ht="15" hidden="false" customHeight="true" outlineLevel="0" collapsed="false">
      <c r="A268" s="18" t="s">
        <v>221</v>
      </c>
      <c r="B268" s="18" t="s">
        <v>329</v>
      </c>
      <c r="C268" s="18" t="n">
        <v>229</v>
      </c>
      <c r="D268" s="18" t="n">
        <v>53</v>
      </c>
      <c r="E268" s="18" t="s">
        <v>225</v>
      </c>
      <c r="F268" s="18" t="s">
        <v>159</v>
      </c>
      <c r="G268" s="18" t="n">
        <f aca="false">IF(D268="",0,D268)</f>
        <v>53</v>
      </c>
    </row>
    <row r="269" customFormat="false" ht="15" hidden="false" customHeight="true" outlineLevel="0" collapsed="false">
      <c r="A269" s="18" t="s">
        <v>221</v>
      </c>
      <c r="B269" s="18" t="s">
        <v>330</v>
      </c>
      <c r="C269" s="18" t="n">
        <v>222</v>
      </c>
      <c r="D269" s="18" t="n">
        <v>119</v>
      </c>
      <c r="E269" s="18" t="s">
        <v>169</v>
      </c>
      <c r="F269" s="18" t="s">
        <v>159</v>
      </c>
      <c r="G269" s="18" t="n">
        <f aca="false">IF(D269="",0,D269)</f>
        <v>119</v>
      </c>
    </row>
    <row r="270" customFormat="false" ht="15" hidden="false" customHeight="true" outlineLevel="0" collapsed="false">
      <c r="A270" s="18" t="s">
        <v>221</v>
      </c>
      <c r="B270" s="18" t="s">
        <v>331</v>
      </c>
      <c r="C270" s="18" t="n">
        <v>189</v>
      </c>
      <c r="D270" s="18" t="n">
        <v>76</v>
      </c>
      <c r="E270" s="18" t="s">
        <v>225</v>
      </c>
      <c r="F270" s="18" t="s">
        <v>159</v>
      </c>
      <c r="G270" s="18" t="n">
        <f aca="false">IF(D270="",0,D270)</f>
        <v>76</v>
      </c>
    </row>
    <row r="271" customFormat="false" ht="15" hidden="false" customHeight="true" outlineLevel="0" collapsed="false">
      <c r="A271" s="18" t="s">
        <v>221</v>
      </c>
      <c r="B271" s="18" t="s">
        <v>332</v>
      </c>
      <c r="C271" s="18" t="n">
        <v>0</v>
      </c>
      <c r="D271" s="18"/>
      <c r="E271" s="18" t="s">
        <v>169</v>
      </c>
      <c r="F271" s="18" t="s">
        <v>159</v>
      </c>
      <c r="G271" s="18" t="n">
        <f aca="false">IF(D271="",0,D271)</f>
        <v>0</v>
      </c>
    </row>
    <row r="272" customFormat="false" ht="15" hidden="false" customHeight="true" outlineLevel="0" collapsed="false">
      <c r="A272" s="18" t="s">
        <v>221</v>
      </c>
      <c r="B272" s="18" t="s">
        <v>333</v>
      </c>
      <c r="C272" s="18" t="n">
        <v>189</v>
      </c>
      <c r="D272" s="18" t="n">
        <v>27</v>
      </c>
      <c r="E272" s="18" t="s">
        <v>225</v>
      </c>
      <c r="F272" s="18" t="s">
        <v>159</v>
      </c>
      <c r="G272" s="18" t="n">
        <f aca="false">IF(D272="",0,D272)</f>
        <v>27</v>
      </c>
    </row>
    <row r="273" customFormat="false" ht="15" hidden="false" customHeight="true" outlineLevel="0" collapsed="false">
      <c r="A273" s="18" t="s">
        <v>221</v>
      </c>
      <c r="B273" s="18" t="s">
        <v>334</v>
      </c>
      <c r="C273" s="18" t="n">
        <v>327</v>
      </c>
      <c r="D273" s="18" t="n">
        <v>64</v>
      </c>
      <c r="E273" s="18" t="s">
        <v>225</v>
      </c>
      <c r="F273" s="18" t="s">
        <v>159</v>
      </c>
      <c r="G273" s="18" t="n">
        <f aca="false">IF(D273="",0,D273)</f>
        <v>64</v>
      </c>
    </row>
    <row r="274" customFormat="false" ht="15" hidden="false" customHeight="true" outlineLevel="0" collapsed="false">
      <c r="A274" s="18" t="s">
        <v>221</v>
      </c>
      <c r="B274" s="18" t="s">
        <v>335</v>
      </c>
      <c r="C274" s="18" t="n">
        <v>221</v>
      </c>
      <c r="D274" s="18" t="n">
        <v>67</v>
      </c>
      <c r="E274" s="18" t="s">
        <v>169</v>
      </c>
      <c r="F274" s="18" t="s">
        <v>159</v>
      </c>
      <c r="G274" s="18" t="n">
        <f aca="false">IF(D274="",0,D274)</f>
        <v>67</v>
      </c>
    </row>
    <row r="275" customFormat="false" ht="15" hidden="false" customHeight="true" outlineLevel="0" collapsed="false">
      <c r="A275" s="18" t="s">
        <v>221</v>
      </c>
      <c r="B275" s="18" t="s">
        <v>336</v>
      </c>
      <c r="C275" s="18" t="n">
        <v>291</v>
      </c>
      <c r="D275" s="18" t="n">
        <v>155</v>
      </c>
      <c r="E275" s="18" t="s">
        <v>170</v>
      </c>
      <c r="F275" s="18" t="s">
        <v>159</v>
      </c>
      <c r="G275" s="18" t="n">
        <f aca="false">IF(D275="",0,D275)</f>
        <v>155</v>
      </c>
    </row>
    <row r="276" customFormat="false" ht="15" hidden="false" customHeight="true" outlineLevel="0" collapsed="false">
      <c r="A276" s="18" t="s">
        <v>221</v>
      </c>
      <c r="B276" s="18" t="s">
        <v>337</v>
      </c>
      <c r="C276" s="18" t="n">
        <v>0</v>
      </c>
      <c r="D276" s="18"/>
      <c r="E276" s="18" t="s">
        <v>170</v>
      </c>
      <c r="F276" s="18" t="s">
        <v>159</v>
      </c>
      <c r="G276" s="18" t="n">
        <f aca="false">IF(D276="",0,D276)</f>
        <v>0</v>
      </c>
    </row>
    <row r="277" customFormat="false" ht="15" hidden="false" customHeight="true" outlineLevel="0" collapsed="false">
      <c r="A277" s="18" t="s">
        <v>221</v>
      </c>
      <c r="B277" s="18" t="s">
        <v>338</v>
      </c>
      <c r="C277" s="18" t="n">
        <v>274</v>
      </c>
      <c r="D277" s="18" t="n">
        <v>13</v>
      </c>
      <c r="E277" s="18" t="s">
        <v>169</v>
      </c>
      <c r="F277" s="18" t="s">
        <v>159</v>
      </c>
      <c r="G277" s="18" t="n">
        <f aca="false">IF(D277="",0,D277)</f>
        <v>13</v>
      </c>
    </row>
    <row r="278" customFormat="false" ht="15" hidden="false" customHeight="true" outlineLevel="0" collapsed="false">
      <c r="A278" s="18" t="s">
        <v>223</v>
      </c>
      <c r="B278" s="18" t="s">
        <v>327</v>
      </c>
      <c r="C278" s="18" t="n">
        <v>294</v>
      </c>
      <c r="D278" s="18" t="n">
        <v>127</v>
      </c>
      <c r="E278" s="18" t="s">
        <v>187</v>
      </c>
      <c r="F278" s="18" t="s">
        <v>163</v>
      </c>
      <c r="G278" s="18" t="n">
        <f aca="false">IF(D278="",0,D278)</f>
        <v>127</v>
      </c>
    </row>
    <row r="279" customFormat="false" ht="15" hidden="false" customHeight="true" outlineLevel="0" collapsed="false">
      <c r="A279" s="18" t="s">
        <v>223</v>
      </c>
      <c r="B279" s="18" t="s">
        <v>328</v>
      </c>
      <c r="C279" s="18" t="n">
        <v>391</v>
      </c>
      <c r="D279" s="18" t="n">
        <v>157</v>
      </c>
      <c r="E279" s="18" t="s">
        <v>187</v>
      </c>
      <c r="F279" s="18" t="s">
        <v>163</v>
      </c>
      <c r="G279" s="18" t="n">
        <f aca="false">IF(D279="",0,D279)</f>
        <v>157</v>
      </c>
    </row>
    <row r="280" customFormat="false" ht="15" hidden="false" customHeight="true" outlineLevel="0" collapsed="false">
      <c r="A280" s="18" t="s">
        <v>223</v>
      </c>
      <c r="B280" s="18" t="s">
        <v>329</v>
      </c>
      <c r="C280" s="18" t="n">
        <v>329</v>
      </c>
      <c r="D280" s="18" t="n">
        <v>109</v>
      </c>
      <c r="E280" s="18" t="s">
        <v>187</v>
      </c>
      <c r="F280" s="18" t="s">
        <v>163</v>
      </c>
      <c r="G280" s="18" t="n">
        <f aca="false">IF(D280="",0,D280)</f>
        <v>109</v>
      </c>
    </row>
    <row r="281" customFormat="false" ht="15" hidden="false" customHeight="true" outlineLevel="0" collapsed="false">
      <c r="A281" s="18" t="s">
        <v>223</v>
      </c>
      <c r="B281" s="18" t="s">
        <v>330</v>
      </c>
      <c r="C281" s="18" t="n">
        <v>0</v>
      </c>
      <c r="D281" s="18" t="n">
        <v>152</v>
      </c>
      <c r="E281" s="18" t="s">
        <v>194</v>
      </c>
      <c r="F281" s="18" t="s">
        <v>163</v>
      </c>
      <c r="G281" s="18" t="n">
        <f aca="false">IF(D281="",0,D281)</f>
        <v>152</v>
      </c>
    </row>
    <row r="282" customFormat="false" ht="15" hidden="false" customHeight="true" outlineLevel="0" collapsed="false">
      <c r="A282" s="18" t="s">
        <v>223</v>
      </c>
      <c r="B282" s="18" t="s">
        <v>331</v>
      </c>
      <c r="C282" s="18" t="n">
        <v>343</v>
      </c>
      <c r="D282" s="18" t="n">
        <v>140</v>
      </c>
      <c r="E282" s="18" t="s">
        <v>166</v>
      </c>
      <c r="F282" s="18" t="s">
        <v>163</v>
      </c>
      <c r="G282" s="18" t="n">
        <f aca="false">IF(D282="",0,D282)</f>
        <v>140</v>
      </c>
    </row>
    <row r="283" customFormat="false" ht="15" hidden="false" customHeight="true" outlineLevel="0" collapsed="false">
      <c r="A283" s="18" t="s">
        <v>223</v>
      </c>
      <c r="B283" s="18" t="s">
        <v>332</v>
      </c>
      <c r="C283" s="18" t="n">
        <v>282</v>
      </c>
      <c r="D283" s="18" t="n">
        <v>5</v>
      </c>
      <c r="E283" s="18" t="s">
        <v>187</v>
      </c>
      <c r="F283" s="18" t="s">
        <v>163</v>
      </c>
      <c r="G283" s="18" t="n">
        <f aca="false">IF(D283="",0,D283)</f>
        <v>5</v>
      </c>
    </row>
    <row r="284" customFormat="false" ht="15" hidden="false" customHeight="true" outlineLevel="0" collapsed="false">
      <c r="A284" s="18" t="s">
        <v>223</v>
      </c>
      <c r="B284" s="18" t="s">
        <v>333</v>
      </c>
      <c r="C284" s="18" t="n">
        <v>397</v>
      </c>
      <c r="D284" s="18" t="n">
        <v>122</v>
      </c>
      <c r="E284" s="18" t="s">
        <v>187</v>
      </c>
      <c r="F284" s="18" t="s">
        <v>163</v>
      </c>
      <c r="G284" s="18" t="n">
        <f aca="false">IF(D284="",0,D284)</f>
        <v>122</v>
      </c>
    </row>
    <row r="285" customFormat="false" ht="15" hidden="false" customHeight="true" outlineLevel="0" collapsed="false">
      <c r="A285" s="18" t="s">
        <v>223</v>
      </c>
      <c r="B285" s="18" t="s">
        <v>334</v>
      </c>
      <c r="C285" s="18" t="n">
        <v>429</v>
      </c>
      <c r="D285" s="18" t="n">
        <v>118</v>
      </c>
      <c r="E285" s="18" t="s">
        <v>166</v>
      </c>
      <c r="F285" s="18" t="s">
        <v>163</v>
      </c>
      <c r="G285" s="18" t="n">
        <f aca="false">IF(D285="",0,D285)</f>
        <v>118</v>
      </c>
    </row>
    <row r="286" customFormat="false" ht="15" hidden="false" customHeight="true" outlineLevel="0" collapsed="false">
      <c r="A286" s="18" t="s">
        <v>223</v>
      </c>
      <c r="B286" s="18" t="s">
        <v>335</v>
      </c>
      <c r="C286" s="18" t="n">
        <v>302</v>
      </c>
      <c r="D286" s="18" t="n">
        <v>15</v>
      </c>
      <c r="E286" s="18" t="s">
        <v>166</v>
      </c>
      <c r="F286" s="18" t="s">
        <v>163</v>
      </c>
      <c r="G286" s="18" t="n">
        <f aca="false">IF(D286="",0,D286)</f>
        <v>15</v>
      </c>
    </row>
    <row r="287" customFormat="false" ht="15" hidden="false" customHeight="true" outlineLevel="0" collapsed="false">
      <c r="A287" s="18" t="s">
        <v>223</v>
      </c>
      <c r="B287" s="18" t="s">
        <v>336</v>
      </c>
      <c r="C287" s="18" t="n">
        <v>349</v>
      </c>
      <c r="D287" s="18" t="n">
        <v>95</v>
      </c>
      <c r="E287" s="18" t="s">
        <v>194</v>
      </c>
      <c r="F287" s="18" t="s">
        <v>163</v>
      </c>
      <c r="G287" s="18" t="n">
        <f aca="false">IF(D287="",0,D287)</f>
        <v>95</v>
      </c>
    </row>
    <row r="288" customFormat="false" ht="15" hidden="false" customHeight="true" outlineLevel="0" collapsed="false">
      <c r="A288" s="18" t="s">
        <v>223</v>
      </c>
      <c r="B288" s="18" t="s">
        <v>337</v>
      </c>
      <c r="C288" s="18" t="n">
        <v>350</v>
      </c>
      <c r="D288" s="18" t="n">
        <v>69</v>
      </c>
      <c r="E288" s="18" t="s">
        <v>194</v>
      </c>
      <c r="F288" s="18" t="s">
        <v>163</v>
      </c>
      <c r="G288" s="18" t="n">
        <f aca="false">IF(D288="",0,D288)</f>
        <v>69</v>
      </c>
    </row>
    <row r="289" customFormat="false" ht="15" hidden="false" customHeight="true" outlineLevel="0" collapsed="false">
      <c r="A289" s="18" t="s">
        <v>223</v>
      </c>
      <c r="B289" s="18" t="s">
        <v>338</v>
      </c>
      <c r="C289" s="18" t="n">
        <v>321</v>
      </c>
      <c r="D289" s="18" t="n">
        <v>7</v>
      </c>
      <c r="E289" s="18" t="s">
        <v>187</v>
      </c>
      <c r="F289" s="18" t="s">
        <v>163</v>
      </c>
      <c r="G289" s="18" t="n">
        <f aca="false">IF(D289="",0,D289)</f>
        <v>7</v>
      </c>
    </row>
    <row r="290" customFormat="false" ht="15" hidden="false" customHeight="true" outlineLevel="0" collapsed="false">
      <c r="A290" s="18" t="s">
        <v>226</v>
      </c>
      <c r="B290" s="18" t="s">
        <v>327</v>
      </c>
      <c r="C290" s="18" t="n">
        <v>232</v>
      </c>
      <c r="D290" s="18" t="n">
        <v>107</v>
      </c>
      <c r="E290" s="18" t="s">
        <v>212</v>
      </c>
      <c r="F290" s="18" t="s">
        <v>159</v>
      </c>
      <c r="G290" s="18" t="n">
        <f aca="false">IF(D290="",0,D290)</f>
        <v>107</v>
      </c>
    </row>
    <row r="291" customFormat="false" ht="15" hidden="false" customHeight="true" outlineLevel="0" collapsed="false">
      <c r="A291" s="18" t="s">
        <v>226</v>
      </c>
      <c r="B291" s="18" t="s">
        <v>328</v>
      </c>
      <c r="C291" s="18" t="n">
        <v>235</v>
      </c>
      <c r="D291" s="18" t="n">
        <v>120</v>
      </c>
      <c r="E291" s="18" t="s">
        <v>212</v>
      </c>
      <c r="F291" s="18" t="s">
        <v>159</v>
      </c>
      <c r="G291" s="18" t="n">
        <f aca="false">IF(D291="",0,D291)</f>
        <v>120</v>
      </c>
    </row>
    <row r="292" customFormat="false" ht="15" hidden="false" customHeight="true" outlineLevel="0" collapsed="false">
      <c r="A292" s="18" t="s">
        <v>226</v>
      </c>
      <c r="B292" s="18" t="s">
        <v>329</v>
      </c>
      <c r="C292" s="18" t="n">
        <v>264</v>
      </c>
      <c r="D292" s="18" t="n">
        <v>107</v>
      </c>
      <c r="E292" s="18" t="s">
        <v>201</v>
      </c>
      <c r="F292" s="18" t="s">
        <v>159</v>
      </c>
      <c r="G292" s="18" t="n">
        <f aca="false">IF(D292="",0,D292)</f>
        <v>107</v>
      </c>
    </row>
    <row r="293" customFormat="false" ht="15" hidden="false" customHeight="true" outlineLevel="0" collapsed="false">
      <c r="A293" s="18" t="s">
        <v>226</v>
      </c>
      <c r="B293" s="18" t="s">
        <v>330</v>
      </c>
      <c r="C293" s="18" t="n">
        <v>211</v>
      </c>
      <c r="D293" s="18" t="n">
        <v>22</v>
      </c>
      <c r="E293" s="18" t="s">
        <v>201</v>
      </c>
      <c r="F293" s="18" t="s">
        <v>159</v>
      </c>
      <c r="G293" s="18" t="n">
        <f aca="false">IF(D293="",0,D293)</f>
        <v>22</v>
      </c>
    </row>
    <row r="294" customFormat="false" ht="15" hidden="false" customHeight="true" outlineLevel="0" collapsed="false">
      <c r="A294" s="18" t="s">
        <v>226</v>
      </c>
      <c r="B294" s="18" t="s">
        <v>331</v>
      </c>
      <c r="C294" s="18" t="n">
        <v>292</v>
      </c>
      <c r="D294" s="18" t="n">
        <v>1</v>
      </c>
      <c r="E294" s="18" t="s">
        <v>238</v>
      </c>
      <c r="F294" s="18" t="s">
        <v>159</v>
      </c>
      <c r="G294" s="18" t="n">
        <f aca="false">IF(D294="",0,D294)</f>
        <v>1</v>
      </c>
    </row>
    <row r="295" customFormat="false" ht="15" hidden="false" customHeight="true" outlineLevel="0" collapsed="false">
      <c r="A295" s="18" t="s">
        <v>226</v>
      </c>
      <c r="B295" s="18" t="s">
        <v>332</v>
      </c>
      <c r="C295" s="18" t="n">
        <v>320</v>
      </c>
      <c r="D295" s="18" t="n">
        <v>120</v>
      </c>
      <c r="E295" s="18" t="s">
        <v>238</v>
      </c>
      <c r="F295" s="18" t="s">
        <v>159</v>
      </c>
      <c r="G295" s="18" t="n">
        <f aca="false">IF(D295="",0,D295)</f>
        <v>120</v>
      </c>
    </row>
    <row r="296" customFormat="false" ht="15" hidden="false" customHeight="true" outlineLevel="0" collapsed="false">
      <c r="A296" s="18" t="s">
        <v>226</v>
      </c>
      <c r="B296" s="18" t="s">
        <v>333</v>
      </c>
      <c r="C296" s="18" t="n">
        <v>269</v>
      </c>
      <c r="D296" s="18" t="n">
        <v>97</v>
      </c>
      <c r="E296" s="18" t="s">
        <v>212</v>
      </c>
      <c r="F296" s="18" t="s">
        <v>159</v>
      </c>
      <c r="G296" s="18" t="n">
        <f aca="false">IF(D296="",0,D296)</f>
        <v>97</v>
      </c>
    </row>
    <row r="297" customFormat="false" ht="15" hidden="false" customHeight="true" outlineLevel="0" collapsed="false">
      <c r="A297" s="18" t="s">
        <v>226</v>
      </c>
      <c r="B297" s="18" t="s">
        <v>334</v>
      </c>
      <c r="C297" s="18" t="n">
        <v>335</v>
      </c>
      <c r="D297" s="18"/>
      <c r="E297" s="18" t="s">
        <v>238</v>
      </c>
      <c r="F297" s="18" t="s">
        <v>159</v>
      </c>
      <c r="G297" s="18" t="n">
        <f aca="false">IF(D297="",0,D297)</f>
        <v>0</v>
      </c>
    </row>
    <row r="298" customFormat="false" ht="15" hidden="false" customHeight="true" outlineLevel="0" collapsed="false">
      <c r="A298" s="18" t="s">
        <v>226</v>
      </c>
      <c r="B298" s="18" t="s">
        <v>335</v>
      </c>
      <c r="C298" s="18" t="n">
        <v>372</v>
      </c>
      <c r="D298" s="18" t="n">
        <v>19</v>
      </c>
      <c r="E298" s="18" t="s">
        <v>212</v>
      </c>
      <c r="F298" s="18" t="s">
        <v>159</v>
      </c>
      <c r="G298" s="18" t="n">
        <f aca="false">IF(D298="",0,D298)</f>
        <v>19</v>
      </c>
    </row>
    <row r="299" customFormat="false" ht="15" hidden="false" customHeight="true" outlineLevel="0" collapsed="false">
      <c r="A299" s="18" t="s">
        <v>226</v>
      </c>
      <c r="B299" s="18" t="s">
        <v>336</v>
      </c>
      <c r="C299" s="18" t="n">
        <v>350</v>
      </c>
      <c r="D299" s="18" t="n">
        <v>141</v>
      </c>
      <c r="E299" s="18" t="s">
        <v>238</v>
      </c>
      <c r="F299" s="18" t="s">
        <v>159</v>
      </c>
      <c r="G299" s="18" t="n">
        <f aca="false">IF(D299="",0,D299)</f>
        <v>141</v>
      </c>
    </row>
    <row r="300" customFormat="false" ht="15" hidden="false" customHeight="true" outlineLevel="0" collapsed="false">
      <c r="A300" s="18" t="s">
        <v>226</v>
      </c>
      <c r="B300" s="18" t="s">
        <v>337</v>
      </c>
      <c r="C300" s="18" t="n">
        <v>268</v>
      </c>
      <c r="D300" s="18" t="n">
        <v>65</v>
      </c>
      <c r="E300" s="18" t="s">
        <v>201</v>
      </c>
      <c r="F300" s="18" t="s">
        <v>159</v>
      </c>
      <c r="G300" s="18" t="n">
        <f aca="false">IF(D300="",0,D300)</f>
        <v>65</v>
      </c>
    </row>
    <row r="301" customFormat="false" ht="15" hidden="false" customHeight="true" outlineLevel="0" collapsed="false">
      <c r="A301" s="18" t="s">
        <v>226</v>
      </c>
      <c r="B301" s="18" t="s">
        <v>338</v>
      </c>
      <c r="C301" s="18" t="n">
        <v>0</v>
      </c>
      <c r="D301" s="18" t="n">
        <v>110</v>
      </c>
      <c r="E301" s="18" t="s">
        <v>212</v>
      </c>
      <c r="F301" s="18" t="s">
        <v>159</v>
      </c>
      <c r="G301" s="18" t="n">
        <f aca="false">IF(D301="",0,D301)</f>
        <v>110</v>
      </c>
    </row>
    <row r="302" customFormat="false" ht="15" hidden="false" customHeight="true" outlineLevel="0" collapsed="false">
      <c r="A302" s="18" t="s">
        <v>228</v>
      </c>
      <c r="B302" s="18" t="s">
        <v>327</v>
      </c>
      <c r="C302" s="18" t="n">
        <v>982</v>
      </c>
      <c r="D302" s="18" t="n">
        <v>61</v>
      </c>
      <c r="E302" s="18" t="s">
        <v>170</v>
      </c>
      <c r="F302" s="18" t="s">
        <v>163</v>
      </c>
      <c r="G302" s="18" t="n">
        <f aca="false">IF(D302="",0,D302)</f>
        <v>61</v>
      </c>
    </row>
    <row r="303" customFormat="false" ht="15" hidden="false" customHeight="true" outlineLevel="0" collapsed="false">
      <c r="A303" s="18" t="s">
        <v>228</v>
      </c>
      <c r="B303" s="18" t="s">
        <v>328</v>
      </c>
      <c r="C303" s="18" t="n">
        <v>1352</v>
      </c>
      <c r="D303" s="18" t="n">
        <v>34</v>
      </c>
      <c r="E303" s="18" t="s">
        <v>169</v>
      </c>
      <c r="F303" s="18" t="s">
        <v>163</v>
      </c>
      <c r="G303" s="18" t="n">
        <f aca="false">IF(D303="",0,D303)</f>
        <v>34</v>
      </c>
    </row>
    <row r="304" customFormat="false" ht="15" hidden="false" customHeight="true" outlineLevel="0" collapsed="false">
      <c r="A304" s="18" t="s">
        <v>228</v>
      </c>
      <c r="B304" s="18" t="s">
        <v>329</v>
      </c>
      <c r="C304" s="18" t="n">
        <v>1443</v>
      </c>
      <c r="D304" s="18" t="n">
        <v>45</v>
      </c>
      <c r="E304" s="18" t="s">
        <v>169</v>
      </c>
      <c r="F304" s="18" t="s">
        <v>163</v>
      </c>
      <c r="G304" s="18" t="n">
        <f aca="false">IF(D304="",0,D304)</f>
        <v>45</v>
      </c>
    </row>
    <row r="305" customFormat="false" ht="15" hidden="false" customHeight="true" outlineLevel="0" collapsed="false">
      <c r="A305" s="18" t="s">
        <v>228</v>
      </c>
      <c r="B305" s="18" t="s">
        <v>330</v>
      </c>
      <c r="C305" s="18" t="n">
        <v>922</v>
      </c>
      <c r="D305" s="18" t="n">
        <v>20</v>
      </c>
      <c r="E305" s="18" t="s">
        <v>225</v>
      </c>
      <c r="F305" s="18" t="s">
        <v>163</v>
      </c>
      <c r="G305" s="18" t="n">
        <f aca="false">IF(D305="",0,D305)</f>
        <v>20</v>
      </c>
    </row>
    <row r="306" customFormat="false" ht="15" hidden="false" customHeight="true" outlineLevel="0" collapsed="false">
      <c r="A306" s="18" t="s">
        <v>228</v>
      </c>
      <c r="B306" s="18" t="s">
        <v>331</v>
      </c>
      <c r="C306" s="18" t="n">
        <v>1350</v>
      </c>
      <c r="D306" s="18" t="n">
        <v>67</v>
      </c>
      <c r="E306" s="18" t="s">
        <v>169</v>
      </c>
      <c r="F306" s="18" t="s">
        <v>163</v>
      </c>
      <c r="G306" s="18" t="n">
        <f aca="false">IF(D306="",0,D306)</f>
        <v>67</v>
      </c>
    </row>
    <row r="307" customFormat="false" ht="15" hidden="false" customHeight="true" outlineLevel="0" collapsed="false">
      <c r="A307" s="18" t="s">
        <v>228</v>
      </c>
      <c r="B307" s="18" t="s">
        <v>332</v>
      </c>
      <c r="C307" s="18" t="n">
        <v>1270</v>
      </c>
      <c r="D307" s="18" t="n">
        <v>8</v>
      </c>
      <c r="E307" s="18" t="s">
        <v>170</v>
      </c>
      <c r="F307" s="18" t="s">
        <v>163</v>
      </c>
      <c r="G307" s="18" t="n">
        <f aca="false">IF(D307="",0,D307)</f>
        <v>8</v>
      </c>
    </row>
    <row r="308" customFormat="false" ht="15" hidden="false" customHeight="true" outlineLevel="0" collapsed="false">
      <c r="A308" s="18" t="s">
        <v>228</v>
      </c>
      <c r="B308" s="18" t="s">
        <v>333</v>
      </c>
      <c r="C308" s="18" t="n">
        <v>1119</v>
      </c>
      <c r="D308" s="18" t="n">
        <v>290</v>
      </c>
      <c r="E308" s="18" t="s">
        <v>170</v>
      </c>
      <c r="F308" s="18" t="s">
        <v>163</v>
      </c>
      <c r="G308" s="18" t="n">
        <f aca="false">IF(D308="",0,D308)</f>
        <v>290</v>
      </c>
    </row>
    <row r="309" customFormat="false" ht="15" hidden="false" customHeight="true" outlineLevel="0" collapsed="false">
      <c r="A309" s="18" t="s">
        <v>228</v>
      </c>
      <c r="B309" s="18" t="s">
        <v>334</v>
      </c>
      <c r="C309" s="18" t="n">
        <v>956</v>
      </c>
      <c r="D309" s="18" t="n">
        <v>237</v>
      </c>
      <c r="E309" s="18" t="s">
        <v>225</v>
      </c>
      <c r="F309" s="18" t="s">
        <v>163</v>
      </c>
      <c r="G309" s="18" t="n">
        <f aca="false">IF(D309="",0,D309)</f>
        <v>237</v>
      </c>
    </row>
    <row r="310" customFormat="false" ht="15" hidden="false" customHeight="true" outlineLevel="0" collapsed="false">
      <c r="A310" s="18" t="s">
        <v>228</v>
      </c>
      <c r="B310" s="18" t="s">
        <v>335</v>
      </c>
      <c r="C310" s="18" t="n">
        <v>1025</v>
      </c>
      <c r="D310" s="18" t="n">
        <v>273</v>
      </c>
      <c r="E310" s="18" t="s">
        <v>170</v>
      </c>
      <c r="F310" s="18" t="s">
        <v>163</v>
      </c>
      <c r="G310" s="18" t="n">
        <f aca="false">IF(D310="",0,D310)</f>
        <v>273</v>
      </c>
    </row>
    <row r="311" customFormat="false" ht="15" hidden="false" customHeight="true" outlineLevel="0" collapsed="false">
      <c r="A311" s="18" t="s">
        <v>228</v>
      </c>
      <c r="B311" s="18" t="s">
        <v>336</v>
      </c>
      <c r="C311" s="18" t="n">
        <v>1555</v>
      </c>
      <c r="D311" s="18" t="n">
        <v>7</v>
      </c>
      <c r="E311" s="18" t="s">
        <v>225</v>
      </c>
      <c r="F311" s="18" t="s">
        <v>163</v>
      </c>
      <c r="G311" s="18" t="n">
        <f aca="false">IF(D311="",0,D311)</f>
        <v>7</v>
      </c>
    </row>
    <row r="312" customFormat="false" ht="15" hidden="false" customHeight="true" outlineLevel="0" collapsed="false">
      <c r="A312" s="18" t="s">
        <v>228</v>
      </c>
      <c r="B312" s="18" t="s">
        <v>337</v>
      </c>
      <c r="C312" s="18" t="n">
        <v>1221</v>
      </c>
      <c r="D312" s="18" t="n">
        <v>199</v>
      </c>
      <c r="E312" s="18" t="s">
        <v>170</v>
      </c>
      <c r="F312" s="18" t="s">
        <v>163</v>
      </c>
      <c r="G312" s="18" t="n">
        <f aca="false">IF(D312="",0,D312)</f>
        <v>199</v>
      </c>
    </row>
    <row r="313" customFormat="false" ht="15" hidden="false" customHeight="true" outlineLevel="0" collapsed="false">
      <c r="A313" s="18" t="s">
        <v>228</v>
      </c>
      <c r="B313" s="18" t="s">
        <v>338</v>
      </c>
      <c r="C313" s="18" t="n">
        <v>1116</v>
      </c>
      <c r="D313" s="18" t="n">
        <v>127</v>
      </c>
      <c r="E313" s="18" t="s">
        <v>169</v>
      </c>
      <c r="F313" s="18" t="s">
        <v>163</v>
      </c>
      <c r="G313" s="18" t="n">
        <f aca="false">IF(D313="",0,D313)</f>
        <v>127</v>
      </c>
    </row>
    <row r="314" customFormat="false" ht="15" hidden="false" customHeight="true" outlineLevel="0" collapsed="false">
      <c r="A314" s="18" t="s">
        <v>232</v>
      </c>
      <c r="B314" s="18" t="s">
        <v>327</v>
      </c>
      <c r="C314" s="18" t="n">
        <v>421</v>
      </c>
      <c r="D314" s="18" t="n">
        <v>45</v>
      </c>
      <c r="E314" s="18" t="s">
        <v>166</v>
      </c>
      <c r="F314" s="18" t="s">
        <v>180</v>
      </c>
      <c r="G314" s="18" t="n">
        <f aca="false">IF(D314="",0,D314)</f>
        <v>45</v>
      </c>
    </row>
    <row r="315" customFormat="false" ht="15" hidden="false" customHeight="true" outlineLevel="0" collapsed="false">
      <c r="A315" s="18" t="s">
        <v>232</v>
      </c>
      <c r="B315" s="18" t="s">
        <v>328</v>
      </c>
      <c r="C315" s="18" t="n">
        <v>530</v>
      </c>
      <c r="D315" s="18" t="n">
        <v>27</v>
      </c>
      <c r="E315" s="18" t="s">
        <v>194</v>
      </c>
      <c r="F315" s="18" t="s">
        <v>180</v>
      </c>
      <c r="G315" s="18" t="n">
        <f aca="false">IF(D315="",0,D315)</f>
        <v>27</v>
      </c>
    </row>
    <row r="316" customFormat="false" ht="15" hidden="false" customHeight="true" outlineLevel="0" collapsed="false">
      <c r="A316" s="18" t="s">
        <v>232</v>
      </c>
      <c r="B316" s="18" t="s">
        <v>329</v>
      </c>
      <c r="C316" s="18" t="n">
        <v>398</v>
      </c>
      <c r="D316" s="18" t="n">
        <v>59</v>
      </c>
      <c r="E316" s="18" t="s">
        <v>162</v>
      </c>
      <c r="F316" s="18" t="s">
        <v>180</v>
      </c>
      <c r="G316" s="18" t="n">
        <f aca="false">IF(D316="",0,D316)</f>
        <v>59</v>
      </c>
    </row>
    <row r="317" customFormat="false" ht="15" hidden="false" customHeight="true" outlineLevel="0" collapsed="false">
      <c r="A317" s="18" t="s">
        <v>232</v>
      </c>
      <c r="B317" s="18" t="s">
        <v>330</v>
      </c>
      <c r="C317" s="18" t="n">
        <v>358</v>
      </c>
      <c r="D317" s="18" t="n">
        <v>42</v>
      </c>
      <c r="E317" s="18" t="s">
        <v>162</v>
      </c>
      <c r="F317" s="18" t="s">
        <v>180</v>
      </c>
      <c r="G317" s="18" t="n">
        <f aca="false">IF(D317="",0,D317)</f>
        <v>42</v>
      </c>
    </row>
    <row r="318" customFormat="false" ht="15" hidden="false" customHeight="true" outlineLevel="0" collapsed="false">
      <c r="A318" s="18" t="s">
        <v>232</v>
      </c>
      <c r="B318" s="18" t="s">
        <v>331</v>
      </c>
      <c r="C318" s="18" t="n">
        <v>488</v>
      </c>
      <c r="D318" s="18" t="n">
        <v>116</v>
      </c>
      <c r="E318" s="18" t="s">
        <v>162</v>
      </c>
      <c r="F318" s="18" t="s">
        <v>180</v>
      </c>
      <c r="G318" s="18" t="n">
        <f aca="false">IF(D318="",0,D318)</f>
        <v>116</v>
      </c>
    </row>
    <row r="319" customFormat="false" ht="15" hidden="false" customHeight="true" outlineLevel="0" collapsed="false">
      <c r="A319" s="18" t="s">
        <v>232</v>
      </c>
      <c r="B319" s="18" t="s">
        <v>332</v>
      </c>
      <c r="C319" s="18" t="n">
        <v>374</v>
      </c>
      <c r="D319" s="18" t="n">
        <v>104</v>
      </c>
      <c r="E319" s="18" t="s">
        <v>194</v>
      </c>
      <c r="F319" s="18" t="s">
        <v>180</v>
      </c>
      <c r="G319" s="18" t="n">
        <f aca="false">IF(D319="",0,D319)</f>
        <v>104</v>
      </c>
    </row>
    <row r="320" customFormat="false" ht="15" hidden="false" customHeight="true" outlineLevel="0" collapsed="false">
      <c r="A320" s="18" t="s">
        <v>232</v>
      </c>
      <c r="B320" s="18" t="s">
        <v>333</v>
      </c>
      <c r="C320" s="18" t="n">
        <v>379</v>
      </c>
      <c r="D320" s="18"/>
      <c r="E320" s="18" t="s">
        <v>194</v>
      </c>
      <c r="F320" s="18" t="s">
        <v>180</v>
      </c>
      <c r="G320" s="18" t="n">
        <f aca="false">IF(D320="",0,D320)</f>
        <v>0</v>
      </c>
    </row>
    <row r="321" customFormat="false" ht="15" hidden="false" customHeight="true" outlineLevel="0" collapsed="false">
      <c r="A321" s="18" t="s">
        <v>232</v>
      </c>
      <c r="B321" s="18" t="s">
        <v>334</v>
      </c>
      <c r="C321" s="18" t="n">
        <v>424</v>
      </c>
      <c r="D321" s="18" t="n">
        <v>83</v>
      </c>
      <c r="E321" s="18" t="s">
        <v>162</v>
      </c>
      <c r="F321" s="18" t="s">
        <v>180</v>
      </c>
      <c r="G321" s="18" t="n">
        <f aca="false">IF(D321="",0,D321)</f>
        <v>83</v>
      </c>
    </row>
    <row r="322" customFormat="false" ht="15" hidden="false" customHeight="true" outlineLevel="0" collapsed="false">
      <c r="A322" s="18" t="s">
        <v>232</v>
      </c>
      <c r="B322" s="18" t="s">
        <v>335</v>
      </c>
      <c r="C322" s="18" t="n">
        <v>528</v>
      </c>
      <c r="D322" s="18" t="n">
        <v>93</v>
      </c>
      <c r="E322" s="18" t="s">
        <v>187</v>
      </c>
      <c r="F322" s="18" t="s">
        <v>180</v>
      </c>
      <c r="G322" s="18" t="n">
        <f aca="false">IF(D322="",0,D322)</f>
        <v>93</v>
      </c>
    </row>
    <row r="323" customFormat="false" ht="15" hidden="false" customHeight="true" outlineLevel="0" collapsed="false">
      <c r="A323" s="18" t="s">
        <v>232</v>
      </c>
      <c r="B323" s="18" t="s">
        <v>336</v>
      </c>
      <c r="C323" s="18" t="n">
        <v>359</v>
      </c>
      <c r="D323" s="18"/>
      <c r="E323" s="18" t="s">
        <v>194</v>
      </c>
      <c r="F323" s="18" t="s">
        <v>180</v>
      </c>
      <c r="G323" s="18" t="n">
        <f aca="false">IF(D323="",0,D323)</f>
        <v>0</v>
      </c>
    </row>
    <row r="324" customFormat="false" ht="15" hidden="false" customHeight="true" outlineLevel="0" collapsed="false">
      <c r="A324" s="18" t="s">
        <v>232</v>
      </c>
      <c r="B324" s="18" t="s">
        <v>337</v>
      </c>
      <c r="C324" s="18" t="n">
        <v>451</v>
      </c>
      <c r="D324" s="18" t="n">
        <v>42</v>
      </c>
      <c r="E324" s="18" t="s">
        <v>194</v>
      </c>
      <c r="F324" s="18" t="s">
        <v>180</v>
      </c>
      <c r="G324" s="18" t="n">
        <f aca="false">IF(D324="",0,D324)</f>
        <v>42</v>
      </c>
    </row>
    <row r="325" customFormat="false" ht="15" hidden="false" customHeight="true" outlineLevel="0" collapsed="false">
      <c r="A325" s="18" t="s">
        <v>232</v>
      </c>
      <c r="B325" s="18" t="s">
        <v>338</v>
      </c>
      <c r="C325" s="18" t="n">
        <v>453</v>
      </c>
      <c r="D325" s="18" t="n">
        <v>128</v>
      </c>
      <c r="E325" s="18" t="s">
        <v>194</v>
      </c>
      <c r="F325" s="18" t="s">
        <v>180</v>
      </c>
      <c r="G325" s="18" t="n">
        <f aca="false">IF(D325="",0,D325)</f>
        <v>128</v>
      </c>
    </row>
    <row r="326" customFormat="false" ht="15" hidden="false" customHeight="true" outlineLevel="0" collapsed="false">
      <c r="A326" s="18" t="s">
        <v>234</v>
      </c>
      <c r="B326" s="18" t="s">
        <v>327</v>
      </c>
      <c r="C326" s="18" t="n">
        <v>434</v>
      </c>
      <c r="D326" s="18" t="n">
        <v>137</v>
      </c>
      <c r="E326" s="18" t="s">
        <v>194</v>
      </c>
      <c r="F326" s="18" t="s">
        <v>159</v>
      </c>
      <c r="G326" s="18" t="n">
        <f aca="false">IF(D326="",0,D326)</f>
        <v>137</v>
      </c>
    </row>
    <row r="327" customFormat="false" ht="15" hidden="false" customHeight="true" outlineLevel="0" collapsed="false">
      <c r="A327" s="18" t="s">
        <v>234</v>
      </c>
      <c r="B327" s="18" t="s">
        <v>328</v>
      </c>
      <c r="C327" s="18" t="n">
        <v>281</v>
      </c>
      <c r="D327" s="18" t="n">
        <v>31</v>
      </c>
      <c r="E327" s="18" t="s">
        <v>166</v>
      </c>
      <c r="F327" s="18" t="s">
        <v>159</v>
      </c>
      <c r="G327" s="18" t="n">
        <f aca="false">IF(D327="",0,D327)</f>
        <v>31</v>
      </c>
    </row>
    <row r="328" customFormat="false" ht="15" hidden="false" customHeight="true" outlineLevel="0" collapsed="false">
      <c r="A328" s="18" t="s">
        <v>234</v>
      </c>
      <c r="B328" s="18" t="s">
        <v>329</v>
      </c>
      <c r="C328" s="18" t="n">
        <v>419</v>
      </c>
      <c r="D328" s="18" t="n">
        <v>27</v>
      </c>
      <c r="E328" s="18" t="s">
        <v>162</v>
      </c>
      <c r="F328" s="18" t="s">
        <v>159</v>
      </c>
      <c r="G328" s="18" t="n">
        <f aca="false">IF(D328="",0,D328)</f>
        <v>27</v>
      </c>
    </row>
    <row r="329" customFormat="false" ht="15" hidden="false" customHeight="true" outlineLevel="0" collapsed="false">
      <c r="A329" s="18" t="s">
        <v>234</v>
      </c>
      <c r="B329" s="18" t="s">
        <v>330</v>
      </c>
      <c r="C329" s="18" t="n">
        <v>381</v>
      </c>
      <c r="D329" s="18" t="n">
        <v>156</v>
      </c>
      <c r="E329" s="18" t="s">
        <v>194</v>
      </c>
      <c r="F329" s="18" t="s">
        <v>159</v>
      </c>
      <c r="G329" s="18" t="n">
        <f aca="false">IF(D329="",0,D329)</f>
        <v>156</v>
      </c>
    </row>
    <row r="330" customFormat="false" ht="15" hidden="false" customHeight="true" outlineLevel="0" collapsed="false">
      <c r="A330" s="18" t="s">
        <v>234</v>
      </c>
      <c r="B330" s="18" t="s">
        <v>331</v>
      </c>
      <c r="C330" s="18" t="n">
        <v>308</v>
      </c>
      <c r="D330" s="18" t="n">
        <v>149</v>
      </c>
      <c r="E330" s="18" t="s">
        <v>187</v>
      </c>
      <c r="F330" s="18" t="s">
        <v>159</v>
      </c>
      <c r="G330" s="18" t="n">
        <f aca="false">IF(D330="",0,D330)</f>
        <v>149</v>
      </c>
    </row>
    <row r="331" customFormat="false" ht="15" hidden="false" customHeight="true" outlineLevel="0" collapsed="false">
      <c r="A331" s="18" t="s">
        <v>234</v>
      </c>
      <c r="B331" s="18" t="s">
        <v>332</v>
      </c>
      <c r="C331" s="18" t="n">
        <v>358</v>
      </c>
      <c r="D331" s="18" t="n">
        <v>102</v>
      </c>
      <c r="E331" s="18" t="s">
        <v>166</v>
      </c>
      <c r="F331" s="18" t="s">
        <v>159</v>
      </c>
      <c r="G331" s="18" t="n">
        <f aca="false">IF(D331="",0,D331)</f>
        <v>102</v>
      </c>
    </row>
    <row r="332" customFormat="false" ht="15" hidden="false" customHeight="true" outlineLevel="0" collapsed="false">
      <c r="A332" s="18" t="s">
        <v>234</v>
      </c>
      <c r="B332" s="18" t="s">
        <v>333</v>
      </c>
      <c r="C332" s="18" t="n">
        <v>404</v>
      </c>
      <c r="D332" s="18" t="n">
        <v>2</v>
      </c>
      <c r="E332" s="18" t="s">
        <v>187</v>
      </c>
      <c r="F332" s="18" t="s">
        <v>159</v>
      </c>
      <c r="G332" s="18" t="n">
        <f aca="false">IF(D332="",0,D332)</f>
        <v>2</v>
      </c>
    </row>
    <row r="333" customFormat="false" ht="15" hidden="false" customHeight="true" outlineLevel="0" collapsed="false">
      <c r="A333" s="18" t="s">
        <v>234</v>
      </c>
      <c r="B333" s="18" t="s">
        <v>334</v>
      </c>
      <c r="C333" s="18" t="n">
        <v>372</v>
      </c>
      <c r="D333" s="18" t="n">
        <v>86</v>
      </c>
      <c r="E333" s="18" t="s">
        <v>162</v>
      </c>
      <c r="F333" s="18" t="s">
        <v>159</v>
      </c>
      <c r="G333" s="18" t="n">
        <f aca="false">IF(D333="",0,D333)</f>
        <v>86</v>
      </c>
    </row>
    <row r="334" customFormat="false" ht="15" hidden="false" customHeight="true" outlineLevel="0" collapsed="false">
      <c r="A334" s="18" t="s">
        <v>234</v>
      </c>
      <c r="B334" s="18" t="s">
        <v>335</v>
      </c>
      <c r="C334" s="18" t="n">
        <v>351</v>
      </c>
      <c r="D334" s="18"/>
      <c r="E334" s="18" t="s">
        <v>187</v>
      </c>
      <c r="F334" s="18" t="s">
        <v>159</v>
      </c>
      <c r="G334" s="18" t="n">
        <f aca="false">IF(D334="",0,D334)</f>
        <v>0</v>
      </c>
    </row>
    <row r="335" customFormat="false" ht="15" hidden="false" customHeight="true" outlineLevel="0" collapsed="false">
      <c r="A335" s="18" t="s">
        <v>234</v>
      </c>
      <c r="B335" s="18" t="s">
        <v>336</v>
      </c>
      <c r="C335" s="18" t="n">
        <v>429</v>
      </c>
      <c r="D335" s="18" t="n">
        <v>116</v>
      </c>
      <c r="E335" s="18" t="s">
        <v>162</v>
      </c>
      <c r="F335" s="18" t="s">
        <v>159</v>
      </c>
      <c r="G335" s="18" t="n">
        <f aca="false">IF(D335="",0,D335)</f>
        <v>116</v>
      </c>
    </row>
    <row r="336" customFormat="false" ht="15" hidden="false" customHeight="true" outlineLevel="0" collapsed="false">
      <c r="A336" s="18" t="s">
        <v>234</v>
      </c>
      <c r="B336" s="18" t="s">
        <v>337</v>
      </c>
      <c r="C336" s="18" t="n">
        <v>330</v>
      </c>
      <c r="D336" s="18" t="n">
        <v>10</v>
      </c>
      <c r="E336" s="18" t="s">
        <v>162</v>
      </c>
      <c r="F336" s="18" t="s">
        <v>159</v>
      </c>
      <c r="G336" s="18" t="n">
        <f aca="false">IF(D336="",0,D336)</f>
        <v>10</v>
      </c>
    </row>
    <row r="337" customFormat="false" ht="15" hidden="false" customHeight="true" outlineLevel="0" collapsed="false">
      <c r="A337" s="18" t="s">
        <v>234</v>
      </c>
      <c r="B337" s="18" t="s">
        <v>338</v>
      </c>
      <c r="C337" s="18" t="n">
        <v>300</v>
      </c>
      <c r="D337" s="18" t="n">
        <v>130</v>
      </c>
      <c r="E337" s="18" t="s">
        <v>166</v>
      </c>
      <c r="F337" s="18" t="s">
        <v>159</v>
      </c>
      <c r="G337" s="18" t="n">
        <f aca="false">IF(D337="",0,D337)</f>
        <v>130</v>
      </c>
    </row>
    <row r="338" customFormat="false" ht="15" hidden="false" customHeight="true" outlineLevel="0" collapsed="false">
      <c r="A338" s="18" t="s">
        <v>236</v>
      </c>
      <c r="B338" s="18" t="s">
        <v>327</v>
      </c>
      <c r="C338" s="18" t="n">
        <v>514</v>
      </c>
      <c r="D338" s="18"/>
      <c r="E338" s="18" t="s">
        <v>162</v>
      </c>
      <c r="F338" s="18" t="s">
        <v>159</v>
      </c>
      <c r="G338" s="18" t="n">
        <f aca="false">IF(D338="",0,D338)</f>
        <v>0</v>
      </c>
    </row>
    <row r="339" customFormat="false" ht="15" hidden="false" customHeight="true" outlineLevel="0" collapsed="false">
      <c r="A339" s="18" t="s">
        <v>236</v>
      </c>
      <c r="B339" s="18" t="s">
        <v>328</v>
      </c>
      <c r="C339" s="18" t="n">
        <v>429</v>
      </c>
      <c r="D339" s="18" t="n">
        <v>77</v>
      </c>
      <c r="E339" s="18" t="s">
        <v>166</v>
      </c>
      <c r="F339" s="18" t="s">
        <v>159</v>
      </c>
      <c r="G339" s="18" t="n">
        <f aca="false">IF(D339="",0,D339)</f>
        <v>77</v>
      </c>
    </row>
    <row r="340" customFormat="false" ht="15" hidden="false" customHeight="true" outlineLevel="0" collapsed="false">
      <c r="A340" s="18" t="s">
        <v>236</v>
      </c>
      <c r="B340" s="18" t="s">
        <v>329</v>
      </c>
      <c r="C340" s="18" t="n">
        <v>551</v>
      </c>
      <c r="D340" s="18" t="n">
        <v>7</v>
      </c>
      <c r="E340" s="18" t="s">
        <v>162</v>
      </c>
      <c r="F340" s="18" t="s">
        <v>159</v>
      </c>
      <c r="G340" s="18" t="n">
        <f aca="false">IF(D340="",0,D340)</f>
        <v>7</v>
      </c>
    </row>
    <row r="341" customFormat="false" ht="15" hidden="false" customHeight="true" outlineLevel="0" collapsed="false">
      <c r="A341" s="18" t="s">
        <v>236</v>
      </c>
      <c r="B341" s="18" t="s">
        <v>330</v>
      </c>
      <c r="C341" s="18" t="n">
        <v>460</v>
      </c>
      <c r="D341" s="18" t="n">
        <v>53</v>
      </c>
      <c r="E341" s="18" t="s">
        <v>162</v>
      </c>
      <c r="F341" s="18" t="s">
        <v>159</v>
      </c>
      <c r="G341" s="18" t="n">
        <f aca="false">IF(D341="",0,D341)</f>
        <v>53</v>
      </c>
    </row>
    <row r="342" customFormat="false" ht="15" hidden="false" customHeight="true" outlineLevel="0" collapsed="false">
      <c r="A342" s="18" t="s">
        <v>236</v>
      </c>
      <c r="B342" s="18" t="s">
        <v>331</v>
      </c>
      <c r="C342" s="18" t="n">
        <v>532</v>
      </c>
      <c r="D342" s="18" t="n">
        <v>89</v>
      </c>
      <c r="E342" s="18" t="s">
        <v>162</v>
      </c>
      <c r="F342" s="18" t="s">
        <v>159</v>
      </c>
      <c r="G342" s="18" t="n">
        <f aca="false">IF(D342="",0,D342)</f>
        <v>89</v>
      </c>
    </row>
    <row r="343" customFormat="false" ht="15" hidden="false" customHeight="true" outlineLevel="0" collapsed="false">
      <c r="A343" s="18" t="s">
        <v>236</v>
      </c>
      <c r="B343" s="18" t="s">
        <v>332</v>
      </c>
      <c r="C343" s="18" t="n">
        <v>501</v>
      </c>
      <c r="D343" s="18" t="n">
        <v>100</v>
      </c>
      <c r="E343" s="18" t="s">
        <v>187</v>
      </c>
      <c r="F343" s="18" t="s">
        <v>159</v>
      </c>
      <c r="G343" s="18" t="n">
        <f aca="false">IF(D343="",0,D343)</f>
        <v>100</v>
      </c>
    </row>
    <row r="344" customFormat="false" ht="15" hidden="false" customHeight="true" outlineLevel="0" collapsed="false">
      <c r="A344" s="18" t="s">
        <v>236</v>
      </c>
      <c r="B344" s="18" t="s">
        <v>333</v>
      </c>
      <c r="C344" s="18" t="n">
        <v>519</v>
      </c>
      <c r="D344" s="18" t="n">
        <v>73</v>
      </c>
      <c r="E344" s="18" t="s">
        <v>166</v>
      </c>
      <c r="F344" s="18" t="s">
        <v>159</v>
      </c>
      <c r="G344" s="18" t="n">
        <f aca="false">IF(D344="",0,D344)</f>
        <v>73</v>
      </c>
    </row>
    <row r="345" customFormat="false" ht="15" hidden="false" customHeight="true" outlineLevel="0" collapsed="false">
      <c r="A345" s="18" t="s">
        <v>236</v>
      </c>
      <c r="B345" s="18" t="s">
        <v>334</v>
      </c>
      <c r="C345" s="18" t="n">
        <v>464</v>
      </c>
      <c r="D345" s="18" t="n">
        <v>111</v>
      </c>
      <c r="E345" s="18" t="s">
        <v>162</v>
      </c>
      <c r="F345" s="18" t="s">
        <v>159</v>
      </c>
      <c r="G345" s="18" t="n">
        <f aca="false">IF(D345="",0,D345)</f>
        <v>111</v>
      </c>
    </row>
    <row r="346" customFormat="false" ht="15" hidden="false" customHeight="true" outlineLevel="0" collapsed="false">
      <c r="A346" s="18" t="s">
        <v>236</v>
      </c>
      <c r="B346" s="18" t="s">
        <v>335</v>
      </c>
      <c r="C346" s="18" t="n">
        <v>443</v>
      </c>
      <c r="D346" s="18" t="n">
        <v>25</v>
      </c>
      <c r="E346" s="18" t="s">
        <v>194</v>
      </c>
      <c r="F346" s="18" t="s">
        <v>159</v>
      </c>
      <c r="G346" s="18" t="n">
        <f aca="false">IF(D346="",0,D346)</f>
        <v>25</v>
      </c>
    </row>
    <row r="347" customFormat="false" ht="15" hidden="false" customHeight="true" outlineLevel="0" collapsed="false">
      <c r="A347" s="18" t="s">
        <v>236</v>
      </c>
      <c r="B347" s="18" t="s">
        <v>336</v>
      </c>
      <c r="C347" s="18" t="n">
        <v>570</v>
      </c>
      <c r="D347" s="18" t="n">
        <v>93</v>
      </c>
      <c r="E347" s="18" t="s">
        <v>187</v>
      </c>
      <c r="F347" s="18" t="s">
        <v>159</v>
      </c>
      <c r="G347" s="18" t="n">
        <f aca="false">IF(D347="",0,D347)</f>
        <v>93</v>
      </c>
    </row>
    <row r="348" customFormat="false" ht="15" hidden="false" customHeight="true" outlineLevel="0" collapsed="false">
      <c r="A348" s="18" t="s">
        <v>236</v>
      </c>
      <c r="B348" s="18" t="s">
        <v>337</v>
      </c>
      <c r="C348" s="18" t="n">
        <v>0</v>
      </c>
      <c r="D348" s="18" t="n">
        <v>16</v>
      </c>
      <c r="E348" s="18" t="s">
        <v>194</v>
      </c>
      <c r="F348" s="18" t="s">
        <v>159</v>
      </c>
      <c r="G348" s="18" t="n">
        <f aca="false">IF(D348="",0,D348)</f>
        <v>16</v>
      </c>
    </row>
    <row r="349" customFormat="false" ht="15" hidden="false" customHeight="true" outlineLevel="0" collapsed="false">
      <c r="A349" s="18" t="s">
        <v>236</v>
      </c>
      <c r="B349" s="18" t="s">
        <v>338</v>
      </c>
      <c r="C349" s="18" t="n">
        <v>540</v>
      </c>
      <c r="D349" s="18" t="n">
        <v>112</v>
      </c>
      <c r="E349" s="18" t="s">
        <v>194</v>
      </c>
      <c r="F349" s="18" t="s">
        <v>159</v>
      </c>
      <c r="G349" s="18" t="n">
        <f aca="false">IF(D349="",0,D349)</f>
        <v>112</v>
      </c>
    </row>
    <row r="350" customFormat="false" ht="15" hidden="false" customHeight="true" outlineLevel="0" collapsed="false">
      <c r="A350" s="18" t="s">
        <v>239</v>
      </c>
      <c r="B350" s="18" t="s">
        <v>327</v>
      </c>
      <c r="C350" s="18" t="n">
        <v>406</v>
      </c>
      <c r="D350" s="18" t="n">
        <v>81</v>
      </c>
      <c r="E350" s="18" t="s">
        <v>187</v>
      </c>
      <c r="F350" s="18" t="s">
        <v>180</v>
      </c>
      <c r="G350" s="18" t="n">
        <f aca="false">IF(D350="",0,D350)</f>
        <v>81</v>
      </c>
    </row>
    <row r="351" customFormat="false" ht="15" hidden="false" customHeight="true" outlineLevel="0" collapsed="false">
      <c r="A351" s="18" t="s">
        <v>239</v>
      </c>
      <c r="B351" s="18" t="s">
        <v>328</v>
      </c>
      <c r="C351" s="18" t="n">
        <v>413</v>
      </c>
      <c r="D351" s="18" t="n">
        <v>85</v>
      </c>
      <c r="E351" s="18" t="s">
        <v>194</v>
      </c>
      <c r="F351" s="18" t="s">
        <v>180</v>
      </c>
      <c r="G351" s="18" t="n">
        <f aca="false">IF(D351="",0,D351)</f>
        <v>85</v>
      </c>
    </row>
    <row r="352" customFormat="false" ht="15" hidden="false" customHeight="true" outlineLevel="0" collapsed="false">
      <c r="A352" s="18" t="s">
        <v>239</v>
      </c>
      <c r="B352" s="18" t="s">
        <v>329</v>
      </c>
      <c r="C352" s="18" t="n">
        <v>406</v>
      </c>
      <c r="D352" s="18" t="n">
        <v>26</v>
      </c>
      <c r="E352" s="18" t="s">
        <v>166</v>
      </c>
      <c r="F352" s="18" t="s">
        <v>180</v>
      </c>
      <c r="G352" s="18" t="n">
        <f aca="false">IF(D352="",0,D352)</f>
        <v>26</v>
      </c>
    </row>
    <row r="353" customFormat="false" ht="15" hidden="false" customHeight="true" outlineLevel="0" collapsed="false">
      <c r="A353" s="18" t="s">
        <v>239</v>
      </c>
      <c r="B353" s="18" t="s">
        <v>330</v>
      </c>
      <c r="C353" s="18" t="n">
        <v>317</v>
      </c>
      <c r="D353" s="18"/>
      <c r="E353" s="18" t="s">
        <v>166</v>
      </c>
      <c r="F353" s="18" t="s">
        <v>180</v>
      </c>
      <c r="G353" s="18" t="n">
        <f aca="false">IF(D353="",0,D353)</f>
        <v>0</v>
      </c>
    </row>
    <row r="354" customFormat="false" ht="15" hidden="false" customHeight="true" outlineLevel="0" collapsed="false">
      <c r="A354" s="18" t="s">
        <v>239</v>
      </c>
      <c r="B354" s="18" t="s">
        <v>331</v>
      </c>
      <c r="C354" s="18" t="n">
        <v>386</v>
      </c>
      <c r="D354" s="18" t="n">
        <v>81</v>
      </c>
      <c r="E354" s="18" t="s">
        <v>162</v>
      </c>
      <c r="F354" s="18" t="s">
        <v>180</v>
      </c>
      <c r="G354" s="18" t="n">
        <f aca="false">IF(D354="",0,D354)</f>
        <v>81</v>
      </c>
    </row>
    <row r="355" customFormat="false" ht="15" hidden="false" customHeight="true" outlineLevel="0" collapsed="false">
      <c r="A355" s="18" t="s">
        <v>239</v>
      </c>
      <c r="B355" s="18" t="s">
        <v>332</v>
      </c>
      <c r="C355" s="18" t="n">
        <v>0</v>
      </c>
      <c r="D355" s="18" t="n">
        <v>126</v>
      </c>
      <c r="E355" s="18" t="s">
        <v>162</v>
      </c>
      <c r="F355" s="18" t="s">
        <v>180</v>
      </c>
      <c r="G355" s="18" t="n">
        <f aca="false">IF(D355="",0,D355)</f>
        <v>126</v>
      </c>
    </row>
    <row r="356" customFormat="false" ht="15" hidden="false" customHeight="true" outlineLevel="0" collapsed="false">
      <c r="A356" s="18" t="s">
        <v>239</v>
      </c>
      <c r="B356" s="18" t="s">
        <v>333</v>
      </c>
      <c r="C356" s="18" t="n">
        <v>257</v>
      </c>
      <c r="D356" s="18" t="n">
        <v>126</v>
      </c>
      <c r="E356" s="18" t="s">
        <v>187</v>
      </c>
      <c r="F356" s="18" t="s">
        <v>180</v>
      </c>
      <c r="G356" s="18" t="n">
        <f aca="false">IF(D356="",0,D356)</f>
        <v>126</v>
      </c>
    </row>
    <row r="357" customFormat="false" ht="15" hidden="false" customHeight="true" outlineLevel="0" collapsed="false">
      <c r="A357" s="18" t="s">
        <v>239</v>
      </c>
      <c r="B357" s="18" t="s">
        <v>334</v>
      </c>
      <c r="C357" s="18" t="n">
        <v>0</v>
      </c>
      <c r="D357" s="18" t="n">
        <v>14</v>
      </c>
      <c r="E357" s="18" t="s">
        <v>166</v>
      </c>
      <c r="F357" s="18" t="s">
        <v>180</v>
      </c>
      <c r="G357" s="18" t="n">
        <f aca="false">IF(D357="",0,D357)</f>
        <v>14</v>
      </c>
    </row>
    <row r="358" customFormat="false" ht="15" hidden="false" customHeight="true" outlineLevel="0" collapsed="false">
      <c r="A358" s="18" t="s">
        <v>239</v>
      </c>
      <c r="B358" s="18" t="s">
        <v>335</v>
      </c>
      <c r="C358" s="18" t="n">
        <v>340</v>
      </c>
      <c r="D358" s="18" t="n">
        <v>134</v>
      </c>
      <c r="E358" s="18" t="s">
        <v>162</v>
      </c>
      <c r="F358" s="18" t="s">
        <v>180</v>
      </c>
      <c r="G358" s="18" t="n">
        <f aca="false">IF(D358="",0,D358)</f>
        <v>134</v>
      </c>
    </row>
    <row r="359" customFormat="false" ht="15" hidden="false" customHeight="true" outlineLevel="0" collapsed="false">
      <c r="A359" s="18" t="s">
        <v>239</v>
      </c>
      <c r="B359" s="18" t="s">
        <v>336</v>
      </c>
      <c r="C359" s="18" t="n">
        <v>244</v>
      </c>
      <c r="D359" s="18" t="n">
        <v>114</v>
      </c>
      <c r="E359" s="18" t="s">
        <v>166</v>
      </c>
      <c r="F359" s="18" t="s">
        <v>180</v>
      </c>
      <c r="G359" s="18" t="n">
        <f aca="false">IF(D359="",0,D359)</f>
        <v>114</v>
      </c>
    </row>
    <row r="360" customFormat="false" ht="15" hidden="false" customHeight="true" outlineLevel="0" collapsed="false">
      <c r="A360" s="18" t="s">
        <v>239</v>
      </c>
      <c r="B360" s="18" t="s">
        <v>337</v>
      </c>
      <c r="C360" s="18" t="n">
        <v>370</v>
      </c>
      <c r="D360" s="18" t="n">
        <v>29</v>
      </c>
      <c r="E360" s="18" t="s">
        <v>187</v>
      </c>
      <c r="F360" s="18" t="s">
        <v>180</v>
      </c>
      <c r="G360" s="18" t="n">
        <f aca="false">IF(D360="",0,D360)</f>
        <v>29</v>
      </c>
    </row>
    <row r="361" customFormat="false" ht="15" hidden="false" customHeight="true" outlineLevel="0" collapsed="false">
      <c r="A361" s="18" t="s">
        <v>239</v>
      </c>
      <c r="B361" s="18" t="s">
        <v>338</v>
      </c>
      <c r="C361" s="18" t="n">
        <v>432</v>
      </c>
      <c r="D361" s="18"/>
      <c r="E361" s="18" t="s">
        <v>166</v>
      </c>
      <c r="F361" s="18" t="s">
        <v>180</v>
      </c>
      <c r="G361" s="18" t="n">
        <f aca="false">IF(D361="",0,D361)</f>
        <v>0</v>
      </c>
    </row>
    <row r="362" customFormat="false" ht="15" hidden="false" customHeight="true" outlineLevel="0" collapsed="false">
      <c r="A362" s="18" t="s">
        <v>241</v>
      </c>
      <c r="B362" s="18" t="s">
        <v>327</v>
      </c>
      <c r="C362" s="18" t="n">
        <v>694</v>
      </c>
      <c r="D362" s="18" t="n">
        <v>126</v>
      </c>
      <c r="E362" s="18" t="s">
        <v>162</v>
      </c>
      <c r="F362" s="18" t="s">
        <v>159</v>
      </c>
      <c r="G362" s="18" t="n">
        <f aca="false">IF(D362="",0,D362)</f>
        <v>126</v>
      </c>
    </row>
    <row r="363" customFormat="false" ht="15" hidden="false" customHeight="true" outlineLevel="0" collapsed="false">
      <c r="A363" s="18" t="s">
        <v>241</v>
      </c>
      <c r="B363" s="18" t="s">
        <v>328</v>
      </c>
      <c r="C363" s="18" t="n">
        <v>1020</v>
      </c>
      <c r="D363" s="18" t="n">
        <v>142</v>
      </c>
      <c r="E363" s="18" t="s">
        <v>194</v>
      </c>
      <c r="F363" s="18" t="s">
        <v>159</v>
      </c>
      <c r="G363" s="18" t="n">
        <f aca="false">IF(D363="",0,D363)</f>
        <v>142</v>
      </c>
    </row>
    <row r="364" customFormat="false" ht="15" hidden="false" customHeight="true" outlineLevel="0" collapsed="false">
      <c r="A364" s="18" t="s">
        <v>241</v>
      </c>
      <c r="B364" s="18" t="s">
        <v>329</v>
      </c>
      <c r="C364" s="18" t="n">
        <v>1153</v>
      </c>
      <c r="D364" s="18" t="n">
        <v>141</v>
      </c>
      <c r="E364" s="18" t="s">
        <v>194</v>
      </c>
      <c r="F364" s="18" t="s">
        <v>159</v>
      </c>
      <c r="G364" s="18" t="n">
        <f aca="false">IF(D364="",0,D364)</f>
        <v>141</v>
      </c>
    </row>
    <row r="365" customFormat="false" ht="15" hidden="false" customHeight="true" outlineLevel="0" collapsed="false">
      <c r="A365" s="18" t="s">
        <v>241</v>
      </c>
      <c r="B365" s="18" t="s">
        <v>330</v>
      </c>
      <c r="C365" s="18" t="n">
        <v>1190</v>
      </c>
      <c r="D365" s="18" t="n">
        <v>105</v>
      </c>
      <c r="E365" s="18" t="s">
        <v>162</v>
      </c>
      <c r="F365" s="18" t="s">
        <v>159</v>
      </c>
      <c r="G365" s="18" t="n">
        <f aca="false">IF(D365="",0,D365)</f>
        <v>105</v>
      </c>
    </row>
    <row r="366" customFormat="false" ht="15" hidden="false" customHeight="true" outlineLevel="0" collapsed="false">
      <c r="A366" s="18" t="s">
        <v>241</v>
      </c>
      <c r="B366" s="18" t="s">
        <v>331</v>
      </c>
      <c r="C366" s="18" t="n">
        <v>1059</v>
      </c>
      <c r="D366" s="18" t="n">
        <v>124</v>
      </c>
      <c r="E366" s="18" t="s">
        <v>166</v>
      </c>
      <c r="F366" s="18" t="s">
        <v>159</v>
      </c>
      <c r="G366" s="18" t="n">
        <f aca="false">IF(D366="",0,D366)</f>
        <v>124</v>
      </c>
    </row>
    <row r="367" customFormat="false" ht="15" hidden="false" customHeight="true" outlineLevel="0" collapsed="false">
      <c r="A367" s="18" t="s">
        <v>241</v>
      </c>
      <c r="B367" s="18" t="s">
        <v>332</v>
      </c>
      <c r="C367" s="18" t="n">
        <v>1037</v>
      </c>
      <c r="D367" s="18"/>
      <c r="E367" s="18" t="s">
        <v>162</v>
      </c>
      <c r="F367" s="18" t="s">
        <v>159</v>
      </c>
      <c r="G367" s="18" t="n">
        <f aca="false">IF(D367="",0,D367)</f>
        <v>0</v>
      </c>
    </row>
    <row r="368" customFormat="false" ht="15" hidden="false" customHeight="true" outlineLevel="0" collapsed="false">
      <c r="A368" s="18" t="s">
        <v>241</v>
      </c>
      <c r="B368" s="18" t="s">
        <v>333</v>
      </c>
      <c r="C368" s="18" t="n">
        <v>1199</v>
      </c>
      <c r="D368" s="18" t="n">
        <v>6</v>
      </c>
      <c r="E368" s="18" t="s">
        <v>162</v>
      </c>
      <c r="F368" s="18" t="s">
        <v>159</v>
      </c>
      <c r="G368" s="18" t="n">
        <f aca="false">IF(D368="",0,D368)</f>
        <v>6</v>
      </c>
    </row>
    <row r="369" customFormat="false" ht="15" hidden="false" customHeight="true" outlineLevel="0" collapsed="false">
      <c r="A369" s="18" t="s">
        <v>241</v>
      </c>
      <c r="B369" s="18" t="s">
        <v>334</v>
      </c>
      <c r="C369" s="18" t="n">
        <v>1082</v>
      </c>
      <c r="D369" s="18" t="n">
        <v>13</v>
      </c>
      <c r="E369" s="18" t="s">
        <v>194</v>
      </c>
      <c r="F369" s="18" t="s">
        <v>159</v>
      </c>
      <c r="G369" s="18" t="n">
        <f aca="false">IF(D369="",0,D369)</f>
        <v>13</v>
      </c>
    </row>
    <row r="370" customFormat="false" ht="15" hidden="false" customHeight="true" outlineLevel="0" collapsed="false">
      <c r="A370" s="18" t="s">
        <v>241</v>
      </c>
      <c r="B370" s="18" t="s">
        <v>335</v>
      </c>
      <c r="C370" s="18" t="n">
        <v>932</v>
      </c>
      <c r="D370" s="18" t="n">
        <v>8</v>
      </c>
      <c r="E370" s="18" t="s">
        <v>187</v>
      </c>
      <c r="F370" s="18" t="s">
        <v>159</v>
      </c>
      <c r="G370" s="18" t="n">
        <f aca="false">IF(D370="",0,D370)</f>
        <v>8</v>
      </c>
    </row>
    <row r="371" customFormat="false" ht="15" hidden="false" customHeight="true" outlineLevel="0" collapsed="false">
      <c r="A371" s="18" t="s">
        <v>241</v>
      </c>
      <c r="B371" s="18" t="s">
        <v>336</v>
      </c>
      <c r="C371" s="18" t="n">
        <v>1167</v>
      </c>
      <c r="D371" s="18" t="n">
        <v>146</v>
      </c>
      <c r="E371" s="18" t="s">
        <v>166</v>
      </c>
      <c r="F371" s="18" t="s">
        <v>159</v>
      </c>
      <c r="G371" s="18" t="n">
        <f aca="false">IF(D371="",0,D371)</f>
        <v>146</v>
      </c>
    </row>
    <row r="372" customFormat="false" ht="15" hidden="false" customHeight="true" outlineLevel="0" collapsed="false">
      <c r="A372" s="18" t="s">
        <v>241</v>
      </c>
      <c r="B372" s="18" t="s">
        <v>337</v>
      </c>
      <c r="C372" s="18" t="n">
        <v>856</v>
      </c>
      <c r="D372" s="18" t="n">
        <v>55</v>
      </c>
      <c r="E372" s="18" t="s">
        <v>194</v>
      </c>
      <c r="F372" s="18" t="s">
        <v>159</v>
      </c>
      <c r="G372" s="18" t="n">
        <f aca="false">IF(D372="",0,D372)</f>
        <v>55</v>
      </c>
    </row>
    <row r="373" customFormat="false" ht="15" hidden="false" customHeight="true" outlineLevel="0" collapsed="false">
      <c r="A373" s="18" t="s">
        <v>241</v>
      </c>
      <c r="B373" s="18" t="s">
        <v>338</v>
      </c>
      <c r="C373" s="18" t="n">
        <v>1105</v>
      </c>
      <c r="D373" s="18" t="n">
        <v>38</v>
      </c>
      <c r="E373" s="18" t="s">
        <v>166</v>
      </c>
      <c r="F373" s="18" t="s">
        <v>159</v>
      </c>
      <c r="G373" s="18" t="n">
        <f aca="false">IF(D373="",0,D373)</f>
        <v>38</v>
      </c>
    </row>
    <row r="374" customFormat="false" ht="15" hidden="false" customHeight="true" outlineLevel="0" collapsed="false">
      <c r="A374" s="18" t="s">
        <v>245</v>
      </c>
      <c r="B374" s="18" t="s">
        <v>327</v>
      </c>
      <c r="C374" s="18" t="n">
        <v>0</v>
      </c>
      <c r="D374" s="18" t="n">
        <v>64</v>
      </c>
      <c r="E374" s="18" t="s">
        <v>187</v>
      </c>
      <c r="F374" s="18" t="s">
        <v>163</v>
      </c>
      <c r="G374" s="18" t="n">
        <f aca="false">IF(D374="",0,D374)</f>
        <v>64</v>
      </c>
    </row>
    <row r="375" customFormat="false" ht="15" hidden="false" customHeight="true" outlineLevel="0" collapsed="false">
      <c r="A375" s="18" t="s">
        <v>245</v>
      </c>
      <c r="B375" s="18" t="s">
        <v>328</v>
      </c>
      <c r="C375" s="18" t="n">
        <v>117</v>
      </c>
      <c r="D375" s="18" t="n">
        <v>116</v>
      </c>
      <c r="E375" s="18" t="s">
        <v>162</v>
      </c>
      <c r="F375" s="18" t="s">
        <v>163</v>
      </c>
      <c r="G375" s="18" t="n">
        <f aca="false">IF(D375="",0,D375)</f>
        <v>116</v>
      </c>
    </row>
    <row r="376" customFormat="false" ht="15" hidden="false" customHeight="true" outlineLevel="0" collapsed="false">
      <c r="A376" s="18" t="s">
        <v>245</v>
      </c>
      <c r="B376" s="18" t="s">
        <v>329</v>
      </c>
      <c r="C376" s="18" t="n">
        <v>132</v>
      </c>
      <c r="D376" s="18" t="n">
        <v>102</v>
      </c>
      <c r="E376" s="18" t="s">
        <v>194</v>
      </c>
      <c r="F376" s="18" t="s">
        <v>163</v>
      </c>
      <c r="G376" s="18" t="n">
        <f aca="false">IF(D376="",0,D376)</f>
        <v>102</v>
      </c>
    </row>
    <row r="377" customFormat="false" ht="15" hidden="false" customHeight="true" outlineLevel="0" collapsed="false">
      <c r="A377" s="18" t="s">
        <v>245</v>
      </c>
      <c r="B377" s="18" t="s">
        <v>330</v>
      </c>
      <c r="C377" s="18" t="n">
        <v>184</v>
      </c>
      <c r="D377" s="18" t="n">
        <v>95</v>
      </c>
      <c r="E377" s="18" t="s">
        <v>162</v>
      </c>
      <c r="F377" s="18" t="s">
        <v>163</v>
      </c>
      <c r="G377" s="18" t="n">
        <f aca="false">IF(D377="",0,D377)</f>
        <v>95</v>
      </c>
    </row>
    <row r="378" customFormat="false" ht="15" hidden="false" customHeight="true" outlineLevel="0" collapsed="false">
      <c r="A378" s="18" t="s">
        <v>245</v>
      </c>
      <c r="B378" s="18" t="s">
        <v>331</v>
      </c>
      <c r="C378" s="18" t="n">
        <v>0</v>
      </c>
      <c r="D378" s="18" t="n">
        <v>90</v>
      </c>
      <c r="E378" s="18" t="s">
        <v>187</v>
      </c>
      <c r="F378" s="18" t="s">
        <v>163</v>
      </c>
      <c r="G378" s="18" t="n">
        <f aca="false">IF(D378="",0,D378)</f>
        <v>90</v>
      </c>
    </row>
    <row r="379" customFormat="false" ht="15" hidden="false" customHeight="true" outlineLevel="0" collapsed="false">
      <c r="A379" s="18" t="s">
        <v>245</v>
      </c>
      <c r="B379" s="18" t="s">
        <v>332</v>
      </c>
      <c r="C379" s="18" t="n">
        <v>157</v>
      </c>
      <c r="D379" s="18" t="n">
        <v>77</v>
      </c>
      <c r="E379" s="18" t="s">
        <v>187</v>
      </c>
      <c r="F379" s="18" t="s">
        <v>163</v>
      </c>
      <c r="G379" s="18" t="n">
        <f aca="false">IF(D379="",0,D379)</f>
        <v>77</v>
      </c>
    </row>
    <row r="380" customFormat="false" ht="15" hidden="false" customHeight="true" outlineLevel="0" collapsed="false">
      <c r="A380" s="18" t="s">
        <v>245</v>
      </c>
      <c r="B380" s="18" t="s">
        <v>333</v>
      </c>
      <c r="C380" s="18" t="n">
        <v>165</v>
      </c>
      <c r="D380" s="18" t="n">
        <v>66</v>
      </c>
      <c r="E380" s="18" t="s">
        <v>194</v>
      </c>
      <c r="F380" s="18" t="s">
        <v>163</v>
      </c>
      <c r="G380" s="18" t="n">
        <f aca="false">IF(D380="",0,D380)</f>
        <v>66</v>
      </c>
    </row>
    <row r="381" customFormat="false" ht="15" hidden="false" customHeight="true" outlineLevel="0" collapsed="false">
      <c r="A381" s="18" t="s">
        <v>245</v>
      </c>
      <c r="B381" s="18" t="s">
        <v>334</v>
      </c>
      <c r="C381" s="18" t="n">
        <v>177</v>
      </c>
      <c r="D381" s="18" t="n">
        <v>97</v>
      </c>
      <c r="E381" s="18" t="s">
        <v>194</v>
      </c>
      <c r="F381" s="18" t="s">
        <v>163</v>
      </c>
      <c r="G381" s="18" t="n">
        <f aca="false">IF(D381="",0,D381)</f>
        <v>97</v>
      </c>
    </row>
    <row r="382" customFormat="false" ht="15" hidden="false" customHeight="true" outlineLevel="0" collapsed="false">
      <c r="A382" s="18" t="s">
        <v>245</v>
      </c>
      <c r="B382" s="18" t="s">
        <v>335</v>
      </c>
      <c r="C382" s="18" t="n">
        <v>157</v>
      </c>
      <c r="D382" s="18"/>
      <c r="E382" s="18" t="s">
        <v>162</v>
      </c>
      <c r="F382" s="18" t="s">
        <v>163</v>
      </c>
      <c r="G382" s="18" t="n">
        <f aca="false">IF(D382="",0,D382)</f>
        <v>0</v>
      </c>
    </row>
    <row r="383" customFormat="false" ht="15" hidden="false" customHeight="true" outlineLevel="0" collapsed="false">
      <c r="A383" s="18" t="s">
        <v>245</v>
      </c>
      <c r="B383" s="18" t="s">
        <v>336</v>
      </c>
      <c r="C383" s="18" t="n">
        <v>176</v>
      </c>
      <c r="D383" s="18" t="n">
        <v>92</v>
      </c>
      <c r="E383" s="18" t="s">
        <v>162</v>
      </c>
      <c r="F383" s="18" t="s">
        <v>163</v>
      </c>
      <c r="G383" s="18" t="n">
        <f aca="false">IF(D383="",0,D383)</f>
        <v>92</v>
      </c>
    </row>
    <row r="384" customFormat="false" ht="15" hidden="false" customHeight="true" outlineLevel="0" collapsed="false">
      <c r="A384" s="18" t="s">
        <v>245</v>
      </c>
      <c r="B384" s="18" t="s">
        <v>337</v>
      </c>
      <c r="C384" s="18" t="n">
        <v>0</v>
      </c>
      <c r="D384" s="18" t="n">
        <v>48</v>
      </c>
      <c r="E384" s="18" t="s">
        <v>194</v>
      </c>
      <c r="F384" s="18" t="s">
        <v>163</v>
      </c>
      <c r="G384" s="18" t="n">
        <f aca="false">IF(D384="",0,D384)</f>
        <v>48</v>
      </c>
    </row>
    <row r="385" customFormat="false" ht="15" hidden="false" customHeight="true" outlineLevel="0" collapsed="false">
      <c r="A385" s="18" t="s">
        <v>245</v>
      </c>
      <c r="B385" s="18" t="s">
        <v>338</v>
      </c>
      <c r="C385" s="18" t="n">
        <v>188</v>
      </c>
      <c r="D385" s="18" t="n">
        <v>20</v>
      </c>
      <c r="E385" s="18" t="s">
        <v>194</v>
      </c>
      <c r="F385" s="18" t="s">
        <v>163</v>
      </c>
      <c r="G385" s="18" t="n">
        <f aca="false">IF(D385="",0,D385)</f>
        <v>20</v>
      </c>
    </row>
    <row r="386" customFormat="false" ht="15" hidden="false" customHeight="true" outlineLevel="0" collapsed="false">
      <c r="A386" s="18" t="s">
        <v>247</v>
      </c>
      <c r="B386" s="18" t="s">
        <v>327</v>
      </c>
      <c r="C386" s="18" t="n">
        <v>547</v>
      </c>
      <c r="D386" s="18" t="n">
        <v>251</v>
      </c>
      <c r="E386" s="18" t="s">
        <v>194</v>
      </c>
      <c r="F386" s="18" t="s">
        <v>159</v>
      </c>
      <c r="G386" s="18" t="n">
        <f aca="false">IF(D386="",0,D386)</f>
        <v>251</v>
      </c>
    </row>
    <row r="387" customFormat="false" ht="15" hidden="false" customHeight="true" outlineLevel="0" collapsed="false">
      <c r="A387" s="18" t="s">
        <v>247</v>
      </c>
      <c r="B387" s="18" t="s">
        <v>328</v>
      </c>
      <c r="C387" s="18" t="n">
        <v>566</v>
      </c>
      <c r="D387" s="18" t="n">
        <v>207</v>
      </c>
      <c r="E387" s="18" t="s">
        <v>187</v>
      </c>
      <c r="F387" s="18" t="s">
        <v>159</v>
      </c>
      <c r="G387" s="18" t="n">
        <f aca="false">IF(D387="",0,D387)</f>
        <v>207</v>
      </c>
    </row>
    <row r="388" customFormat="false" ht="15" hidden="false" customHeight="true" outlineLevel="0" collapsed="false">
      <c r="A388" s="18" t="s">
        <v>247</v>
      </c>
      <c r="B388" s="18" t="s">
        <v>329</v>
      </c>
      <c r="C388" s="18" t="n">
        <v>0</v>
      </c>
      <c r="D388" s="18" t="n">
        <v>163</v>
      </c>
      <c r="E388" s="18" t="s">
        <v>187</v>
      </c>
      <c r="F388" s="18" t="s">
        <v>159</v>
      </c>
      <c r="G388" s="18" t="n">
        <f aca="false">IF(D388="",0,D388)</f>
        <v>163</v>
      </c>
    </row>
    <row r="389" customFormat="false" ht="15" hidden="false" customHeight="true" outlineLevel="0" collapsed="false">
      <c r="A389" s="18" t="s">
        <v>247</v>
      </c>
      <c r="B389" s="18" t="s">
        <v>330</v>
      </c>
      <c r="C389" s="18" t="n">
        <v>528</v>
      </c>
      <c r="D389" s="18" t="n">
        <v>106</v>
      </c>
      <c r="E389" s="18" t="s">
        <v>187</v>
      </c>
      <c r="F389" s="18" t="s">
        <v>159</v>
      </c>
      <c r="G389" s="18" t="n">
        <f aca="false">IF(D389="",0,D389)</f>
        <v>106</v>
      </c>
    </row>
    <row r="390" customFormat="false" ht="15" hidden="false" customHeight="true" outlineLevel="0" collapsed="false">
      <c r="A390" s="18" t="s">
        <v>247</v>
      </c>
      <c r="B390" s="18" t="s">
        <v>331</v>
      </c>
      <c r="C390" s="18" t="n">
        <v>630</v>
      </c>
      <c r="D390" s="18" t="n">
        <v>299</v>
      </c>
      <c r="E390" s="18" t="s">
        <v>194</v>
      </c>
      <c r="F390" s="18" t="s">
        <v>159</v>
      </c>
      <c r="G390" s="18" t="n">
        <f aca="false">IF(D390="",0,D390)</f>
        <v>299</v>
      </c>
    </row>
    <row r="391" customFormat="false" ht="15" hidden="false" customHeight="true" outlineLevel="0" collapsed="false">
      <c r="A391" s="18" t="s">
        <v>247</v>
      </c>
      <c r="B391" s="18" t="s">
        <v>332</v>
      </c>
      <c r="C391" s="18" t="n">
        <v>490</v>
      </c>
      <c r="D391" s="18" t="n">
        <v>316</v>
      </c>
      <c r="E391" s="18" t="s">
        <v>166</v>
      </c>
      <c r="F391" s="18" t="s">
        <v>159</v>
      </c>
      <c r="G391" s="18" t="n">
        <f aca="false">IF(D391="",0,D391)</f>
        <v>316</v>
      </c>
    </row>
    <row r="392" customFormat="false" ht="15" hidden="false" customHeight="true" outlineLevel="0" collapsed="false">
      <c r="A392" s="18" t="s">
        <v>247</v>
      </c>
      <c r="B392" s="18" t="s">
        <v>333</v>
      </c>
      <c r="C392" s="18" t="n">
        <v>0</v>
      </c>
      <c r="D392" s="18" t="n">
        <v>14</v>
      </c>
      <c r="E392" s="18" t="s">
        <v>166</v>
      </c>
      <c r="F392" s="18" t="s">
        <v>159</v>
      </c>
      <c r="G392" s="18" t="n">
        <f aca="false">IF(D392="",0,D392)</f>
        <v>14</v>
      </c>
    </row>
    <row r="393" customFormat="false" ht="15" hidden="false" customHeight="true" outlineLevel="0" collapsed="false">
      <c r="A393" s="18" t="s">
        <v>247</v>
      </c>
      <c r="B393" s="18" t="s">
        <v>334</v>
      </c>
      <c r="C393" s="18" t="n">
        <v>676</v>
      </c>
      <c r="D393" s="18" t="n">
        <v>176</v>
      </c>
      <c r="E393" s="18" t="s">
        <v>166</v>
      </c>
      <c r="F393" s="18" t="s">
        <v>159</v>
      </c>
      <c r="G393" s="18" t="n">
        <f aca="false">IF(D393="",0,D393)</f>
        <v>176</v>
      </c>
    </row>
    <row r="394" customFormat="false" ht="15" hidden="false" customHeight="true" outlineLevel="0" collapsed="false">
      <c r="A394" s="18" t="s">
        <v>247</v>
      </c>
      <c r="B394" s="18" t="s">
        <v>335</v>
      </c>
      <c r="C394" s="18" t="n">
        <v>463</v>
      </c>
      <c r="D394" s="18" t="n">
        <v>233</v>
      </c>
      <c r="E394" s="18" t="s">
        <v>194</v>
      </c>
      <c r="F394" s="18" t="s">
        <v>159</v>
      </c>
      <c r="G394" s="18" t="n">
        <f aca="false">IF(D394="",0,D394)</f>
        <v>233</v>
      </c>
    </row>
    <row r="395" customFormat="false" ht="15" hidden="false" customHeight="true" outlineLevel="0" collapsed="false">
      <c r="A395" s="18" t="s">
        <v>247</v>
      </c>
      <c r="B395" s="18" t="s">
        <v>336</v>
      </c>
      <c r="C395" s="18" t="n">
        <v>579</v>
      </c>
      <c r="D395" s="18" t="n">
        <v>227</v>
      </c>
      <c r="E395" s="18" t="s">
        <v>162</v>
      </c>
      <c r="F395" s="18" t="s">
        <v>159</v>
      </c>
      <c r="G395" s="18" t="n">
        <f aca="false">IF(D395="",0,D395)</f>
        <v>227</v>
      </c>
    </row>
    <row r="396" customFormat="false" ht="15" hidden="false" customHeight="true" outlineLevel="0" collapsed="false">
      <c r="A396" s="18" t="s">
        <v>247</v>
      </c>
      <c r="B396" s="18" t="s">
        <v>337</v>
      </c>
      <c r="C396" s="18" t="n">
        <v>697</v>
      </c>
      <c r="D396" s="18" t="n">
        <v>38</v>
      </c>
      <c r="E396" s="18" t="s">
        <v>162</v>
      </c>
      <c r="F396" s="18" t="s">
        <v>159</v>
      </c>
      <c r="G396" s="18" t="n">
        <f aca="false">IF(D396="",0,D396)</f>
        <v>38</v>
      </c>
    </row>
    <row r="397" customFormat="false" ht="15" hidden="false" customHeight="true" outlineLevel="0" collapsed="false">
      <c r="A397" s="18" t="s">
        <v>247</v>
      </c>
      <c r="B397" s="18" t="s">
        <v>338</v>
      </c>
      <c r="C397" s="18" t="n">
        <v>515</v>
      </c>
      <c r="D397" s="18" t="n">
        <v>193</v>
      </c>
      <c r="E397" s="18" t="s">
        <v>194</v>
      </c>
      <c r="F397" s="18" t="s">
        <v>159</v>
      </c>
      <c r="G397" s="18" t="n">
        <f aca="false">IF(D397="",0,D397)</f>
        <v>193</v>
      </c>
    </row>
    <row r="398" customFormat="false" ht="15" hidden="false" customHeight="true" outlineLevel="0" collapsed="false">
      <c r="A398" s="18" t="s">
        <v>249</v>
      </c>
      <c r="B398" s="18" t="s">
        <v>327</v>
      </c>
      <c r="C398" s="18" t="n">
        <v>2022</v>
      </c>
      <c r="D398" s="18" t="n">
        <v>318</v>
      </c>
      <c r="E398" s="18" t="s">
        <v>162</v>
      </c>
      <c r="F398" s="18" t="s">
        <v>159</v>
      </c>
      <c r="G398" s="18" t="n">
        <f aca="false">IF(D398="",0,D398)</f>
        <v>318</v>
      </c>
    </row>
    <row r="399" customFormat="false" ht="15" hidden="false" customHeight="true" outlineLevel="0" collapsed="false">
      <c r="A399" s="18" t="s">
        <v>249</v>
      </c>
      <c r="B399" s="18" t="s">
        <v>328</v>
      </c>
      <c r="C399" s="18" t="n">
        <v>2269</v>
      </c>
      <c r="D399" s="18"/>
      <c r="E399" s="18" t="s">
        <v>194</v>
      </c>
      <c r="F399" s="18" t="s">
        <v>159</v>
      </c>
      <c r="G399" s="18" t="n">
        <f aca="false">IF(D399="",0,D399)</f>
        <v>0</v>
      </c>
    </row>
    <row r="400" customFormat="false" ht="15" hidden="false" customHeight="true" outlineLevel="0" collapsed="false">
      <c r="A400" s="18" t="s">
        <v>249</v>
      </c>
      <c r="B400" s="18" t="s">
        <v>329</v>
      </c>
      <c r="C400" s="18" t="n">
        <v>2748</v>
      </c>
      <c r="D400" s="18"/>
      <c r="E400" s="18" t="s">
        <v>194</v>
      </c>
      <c r="F400" s="18" t="s">
        <v>159</v>
      </c>
      <c r="G400" s="18" t="n">
        <f aca="false">IF(D400="",0,D400)</f>
        <v>0</v>
      </c>
    </row>
    <row r="401" customFormat="false" ht="15" hidden="false" customHeight="true" outlineLevel="0" collapsed="false">
      <c r="A401" s="18" t="s">
        <v>249</v>
      </c>
      <c r="B401" s="18" t="s">
        <v>330</v>
      </c>
      <c r="C401" s="18" t="n">
        <v>2400</v>
      </c>
      <c r="D401" s="18" t="n">
        <v>343</v>
      </c>
      <c r="E401" s="18" t="s">
        <v>187</v>
      </c>
      <c r="F401" s="18" t="s">
        <v>159</v>
      </c>
      <c r="G401" s="18" t="n">
        <f aca="false">IF(D401="",0,D401)</f>
        <v>343</v>
      </c>
    </row>
    <row r="402" customFormat="false" ht="15" hidden="false" customHeight="true" outlineLevel="0" collapsed="false">
      <c r="A402" s="18" t="s">
        <v>249</v>
      </c>
      <c r="B402" s="18" t="s">
        <v>331</v>
      </c>
      <c r="C402" s="18" t="n">
        <v>1755</v>
      </c>
      <c r="D402" s="18" t="n">
        <v>214</v>
      </c>
      <c r="E402" s="18" t="s">
        <v>162</v>
      </c>
      <c r="F402" s="18" t="s">
        <v>159</v>
      </c>
      <c r="G402" s="18" t="n">
        <f aca="false">IF(D402="",0,D402)</f>
        <v>214</v>
      </c>
    </row>
    <row r="403" customFormat="false" ht="15" hidden="false" customHeight="true" outlineLevel="0" collapsed="false">
      <c r="A403" s="18" t="s">
        <v>249</v>
      </c>
      <c r="B403" s="18" t="s">
        <v>332</v>
      </c>
      <c r="C403" s="18" t="n">
        <v>2735</v>
      </c>
      <c r="D403" s="18"/>
      <c r="E403" s="18" t="s">
        <v>187</v>
      </c>
      <c r="F403" s="18" t="s">
        <v>159</v>
      </c>
      <c r="G403" s="18" t="n">
        <f aca="false">IF(D403="",0,D403)</f>
        <v>0</v>
      </c>
    </row>
    <row r="404" customFormat="false" ht="15" hidden="false" customHeight="true" outlineLevel="0" collapsed="false">
      <c r="A404" s="18" t="s">
        <v>249</v>
      </c>
      <c r="B404" s="18" t="s">
        <v>333</v>
      </c>
      <c r="C404" s="18" t="n">
        <v>2231</v>
      </c>
      <c r="D404" s="18" t="n">
        <v>257</v>
      </c>
      <c r="E404" s="18" t="s">
        <v>162</v>
      </c>
      <c r="F404" s="18" t="s">
        <v>159</v>
      </c>
      <c r="G404" s="18" t="n">
        <f aca="false">IF(D404="",0,D404)</f>
        <v>257</v>
      </c>
    </row>
    <row r="405" customFormat="false" ht="15" hidden="false" customHeight="true" outlineLevel="0" collapsed="false">
      <c r="A405" s="18" t="s">
        <v>249</v>
      </c>
      <c r="B405" s="18" t="s">
        <v>334</v>
      </c>
      <c r="C405" s="18" t="n">
        <v>1995</v>
      </c>
      <c r="D405" s="18" t="n">
        <v>389</v>
      </c>
      <c r="E405" s="18" t="s">
        <v>187</v>
      </c>
      <c r="F405" s="18" t="s">
        <v>159</v>
      </c>
      <c r="G405" s="18" t="n">
        <f aca="false">IF(D405="",0,D405)</f>
        <v>389</v>
      </c>
    </row>
    <row r="406" customFormat="false" ht="15" hidden="false" customHeight="true" outlineLevel="0" collapsed="false">
      <c r="A406" s="18" t="s">
        <v>249</v>
      </c>
      <c r="B406" s="18" t="s">
        <v>335</v>
      </c>
      <c r="C406" s="18" t="n">
        <v>1968</v>
      </c>
      <c r="D406" s="18" t="n">
        <v>241</v>
      </c>
      <c r="E406" s="18" t="s">
        <v>162</v>
      </c>
      <c r="F406" s="18" t="s">
        <v>159</v>
      </c>
      <c r="G406" s="18" t="n">
        <f aca="false">IF(D406="",0,D406)</f>
        <v>241</v>
      </c>
    </row>
    <row r="407" customFormat="false" ht="15" hidden="false" customHeight="true" outlineLevel="0" collapsed="false">
      <c r="A407" s="18" t="s">
        <v>249</v>
      </c>
      <c r="B407" s="18" t="s">
        <v>336</v>
      </c>
      <c r="C407" s="18" t="n">
        <v>2658</v>
      </c>
      <c r="D407" s="18" t="n">
        <v>119</v>
      </c>
      <c r="E407" s="18" t="s">
        <v>187</v>
      </c>
      <c r="F407" s="18" t="s">
        <v>159</v>
      </c>
      <c r="G407" s="18" t="n">
        <f aca="false">IF(D407="",0,D407)</f>
        <v>119</v>
      </c>
    </row>
    <row r="408" customFormat="false" ht="15" hidden="false" customHeight="true" outlineLevel="0" collapsed="false">
      <c r="A408" s="18" t="s">
        <v>249</v>
      </c>
      <c r="B408" s="18" t="s">
        <v>337</v>
      </c>
      <c r="C408" s="18" t="n">
        <v>0</v>
      </c>
      <c r="D408" s="18" t="n">
        <v>122</v>
      </c>
      <c r="E408" s="18" t="s">
        <v>194</v>
      </c>
      <c r="F408" s="18" t="s">
        <v>159</v>
      </c>
      <c r="G408" s="18" t="n">
        <f aca="false">IF(D408="",0,D408)</f>
        <v>122</v>
      </c>
    </row>
    <row r="409" customFormat="false" ht="15" hidden="false" customHeight="true" outlineLevel="0" collapsed="false">
      <c r="A409" s="18" t="s">
        <v>249</v>
      </c>
      <c r="B409" s="18" t="s">
        <v>338</v>
      </c>
      <c r="C409" s="18" t="n">
        <v>1827</v>
      </c>
      <c r="D409" s="18" t="n">
        <v>331</v>
      </c>
      <c r="E409" s="18" t="s">
        <v>187</v>
      </c>
      <c r="F409" s="18" t="s">
        <v>159</v>
      </c>
      <c r="G409" s="18" t="n">
        <f aca="false">IF(D409="",0,D409)</f>
        <v>331</v>
      </c>
    </row>
    <row r="410" customFormat="false" ht="15" hidden="false" customHeight="true" outlineLevel="0" collapsed="false">
      <c r="A410" s="18" t="s">
        <v>251</v>
      </c>
      <c r="B410" s="18" t="s">
        <v>327</v>
      </c>
      <c r="C410" s="18" t="n">
        <v>83</v>
      </c>
      <c r="D410" s="18" t="n">
        <v>23</v>
      </c>
      <c r="E410" s="18" t="s">
        <v>166</v>
      </c>
      <c r="F410" s="18" t="s">
        <v>163</v>
      </c>
      <c r="G410" s="18" t="n">
        <f aca="false">IF(D410="",0,D410)</f>
        <v>23</v>
      </c>
    </row>
    <row r="411" customFormat="false" ht="15" hidden="false" customHeight="true" outlineLevel="0" collapsed="false">
      <c r="A411" s="18" t="s">
        <v>251</v>
      </c>
      <c r="B411" s="18" t="s">
        <v>328</v>
      </c>
      <c r="C411" s="18" t="n">
        <v>0</v>
      </c>
      <c r="D411" s="18" t="n">
        <v>22</v>
      </c>
      <c r="E411" s="18" t="s">
        <v>187</v>
      </c>
      <c r="F411" s="18" t="s">
        <v>163</v>
      </c>
      <c r="G411" s="18" t="n">
        <f aca="false">IF(D411="",0,D411)</f>
        <v>22</v>
      </c>
    </row>
    <row r="412" customFormat="false" ht="15" hidden="false" customHeight="true" outlineLevel="0" collapsed="false">
      <c r="A412" s="18" t="s">
        <v>251</v>
      </c>
      <c r="B412" s="18" t="s">
        <v>329</v>
      </c>
      <c r="C412" s="18" t="n">
        <v>117</v>
      </c>
      <c r="D412" s="18" t="n">
        <v>54</v>
      </c>
      <c r="E412" s="18" t="s">
        <v>194</v>
      </c>
      <c r="F412" s="18" t="s">
        <v>163</v>
      </c>
      <c r="G412" s="18" t="n">
        <f aca="false">IF(D412="",0,D412)</f>
        <v>54</v>
      </c>
    </row>
    <row r="413" customFormat="false" ht="15" hidden="false" customHeight="true" outlineLevel="0" collapsed="false">
      <c r="A413" s="18" t="s">
        <v>251</v>
      </c>
      <c r="B413" s="18" t="s">
        <v>330</v>
      </c>
      <c r="C413" s="18" t="n">
        <v>0</v>
      </c>
      <c r="D413" s="18" t="n">
        <v>3</v>
      </c>
      <c r="E413" s="18" t="s">
        <v>194</v>
      </c>
      <c r="F413" s="18" t="s">
        <v>163</v>
      </c>
      <c r="G413" s="18" t="n">
        <f aca="false">IF(D413="",0,D413)</f>
        <v>3</v>
      </c>
    </row>
    <row r="414" customFormat="false" ht="15" hidden="false" customHeight="true" outlineLevel="0" collapsed="false">
      <c r="A414" s="18" t="s">
        <v>251</v>
      </c>
      <c r="B414" s="18" t="s">
        <v>331</v>
      </c>
      <c r="C414" s="18" t="n">
        <v>0</v>
      </c>
      <c r="D414" s="18" t="n">
        <v>34</v>
      </c>
      <c r="E414" s="18" t="s">
        <v>194</v>
      </c>
      <c r="F414" s="18" t="s">
        <v>163</v>
      </c>
      <c r="G414" s="18" t="n">
        <f aca="false">IF(D414="",0,D414)</f>
        <v>34</v>
      </c>
    </row>
    <row r="415" customFormat="false" ht="15" hidden="false" customHeight="true" outlineLevel="0" collapsed="false">
      <c r="A415" s="18" t="s">
        <v>251</v>
      </c>
      <c r="B415" s="18" t="s">
        <v>332</v>
      </c>
      <c r="C415" s="18" t="n">
        <v>88</v>
      </c>
      <c r="D415" s="18" t="n">
        <v>42</v>
      </c>
      <c r="E415" s="18" t="s">
        <v>166</v>
      </c>
      <c r="F415" s="18" t="s">
        <v>163</v>
      </c>
      <c r="G415" s="18" t="n">
        <f aca="false">IF(D415="",0,D415)</f>
        <v>42</v>
      </c>
    </row>
    <row r="416" customFormat="false" ht="15" hidden="false" customHeight="true" outlineLevel="0" collapsed="false">
      <c r="A416" s="18" t="s">
        <v>251</v>
      </c>
      <c r="B416" s="18" t="s">
        <v>333</v>
      </c>
      <c r="C416" s="18" t="n">
        <v>106</v>
      </c>
      <c r="D416" s="18" t="n">
        <v>7</v>
      </c>
      <c r="E416" s="18" t="s">
        <v>162</v>
      </c>
      <c r="F416" s="18" t="s">
        <v>163</v>
      </c>
      <c r="G416" s="18" t="n">
        <f aca="false">IF(D416="",0,D416)</f>
        <v>7</v>
      </c>
    </row>
    <row r="417" customFormat="false" ht="15" hidden="false" customHeight="true" outlineLevel="0" collapsed="false">
      <c r="A417" s="18" t="s">
        <v>251</v>
      </c>
      <c r="B417" s="18" t="s">
        <v>334</v>
      </c>
      <c r="C417" s="18" t="n">
        <v>86</v>
      </c>
      <c r="D417" s="18"/>
      <c r="E417" s="18" t="s">
        <v>162</v>
      </c>
      <c r="F417" s="18" t="s">
        <v>163</v>
      </c>
      <c r="G417" s="18" t="n">
        <f aca="false">IF(D417="",0,D417)</f>
        <v>0</v>
      </c>
    </row>
    <row r="418" customFormat="false" ht="15" hidden="false" customHeight="true" outlineLevel="0" collapsed="false">
      <c r="A418" s="18" t="s">
        <v>251</v>
      </c>
      <c r="B418" s="18" t="s">
        <v>335</v>
      </c>
      <c r="C418" s="18" t="n">
        <v>86</v>
      </c>
      <c r="D418" s="18" t="n">
        <v>22</v>
      </c>
      <c r="E418" s="18" t="s">
        <v>162</v>
      </c>
      <c r="F418" s="18" t="s">
        <v>163</v>
      </c>
      <c r="G418" s="18" t="n">
        <f aca="false">IF(D418="",0,D418)</f>
        <v>22</v>
      </c>
    </row>
    <row r="419" customFormat="false" ht="15" hidden="false" customHeight="true" outlineLevel="0" collapsed="false">
      <c r="A419" s="18" t="s">
        <v>251</v>
      </c>
      <c r="B419" s="18" t="s">
        <v>336</v>
      </c>
      <c r="C419" s="18" t="n">
        <v>85</v>
      </c>
      <c r="D419" s="18" t="n">
        <v>73</v>
      </c>
      <c r="E419" s="18" t="s">
        <v>194</v>
      </c>
      <c r="F419" s="18" t="s">
        <v>163</v>
      </c>
      <c r="G419" s="18" t="n">
        <f aca="false">IF(D419="",0,D419)</f>
        <v>73</v>
      </c>
    </row>
    <row r="420" customFormat="false" ht="15" hidden="false" customHeight="true" outlineLevel="0" collapsed="false">
      <c r="A420" s="18" t="s">
        <v>251</v>
      </c>
      <c r="B420" s="18" t="s">
        <v>337</v>
      </c>
      <c r="C420" s="18" t="n">
        <v>0</v>
      </c>
      <c r="D420" s="18" t="n">
        <v>91</v>
      </c>
      <c r="E420" s="18" t="s">
        <v>194</v>
      </c>
      <c r="F420" s="18" t="s">
        <v>163</v>
      </c>
      <c r="G420" s="18" t="n">
        <f aca="false">IF(D420="",0,D420)</f>
        <v>91</v>
      </c>
    </row>
    <row r="421" customFormat="false" ht="15" hidden="false" customHeight="true" outlineLevel="0" collapsed="false">
      <c r="A421" s="18" t="s">
        <v>251</v>
      </c>
      <c r="B421" s="18" t="s">
        <v>338</v>
      </c>
      <c r="C421" s="18" t="n">
        <v>81</v>
      </c>
      <c r="D421" s="18" t="n">
        <v>31</v>
      </c>
      <c r="E421" s="18" t="s">
        <v>166</v>
      </c>
      <c r="F421" s="18" t="s">
        <v>163</v>
      </c>
      <c r="G421" s="18" t="n">
        <f aca="false">IF(D421="",0,D421)</f>
        <v>31</v>
      </c>
    </row>
    <row r="422" customFormat="false" ht="15" hidden="false" customHeight="true" outlineLevel="0" collapsed="false">
      <c r="A422" s="18" t="s">
        <v>254</v>
      </c>
      <c r="B422" s="18" t="s">
        <v>327</v>
      </c>
      <c r="C422" s="18" t="n">
        <v>715</v>
      </c>
      <c r="D422" s="18" t="n">
        <v>118</v>
      </c>
      <c r="E422" s="18" t="s">
        <v>170</v>
      </c>
      <c r="F422" s="18" t="s">
        <v>159</v>
      </c>
      <c r="G422" s="18" t="n">
        <f aca="false">IF(D422="",0,D422)</f>
        <v>118</v>
      </c>
    </row>
    <row r="423" customFormat="false" ht="15" hidden="false" customHeight="true" outlineLevel="0" collapsed="false">
      <c r="A423" s="18" t="s">
        <v>254</v>
      </c>
      <c r="B423" s="18" t="s">
        <v>328</v>
      </c>
      <c r="C423" s="18" t="n">
        <v>643</v>
      </c>
      <c r="D423" s="18"/>
      <c r="E423" s="18" t="s">
        <v>225</v>
      </c>
      <c r="F423" s="18" t="s">
        <v>159</v>
      </c>
      <c r="G423" s="18" t="n">
        <f aca="false">IF(D423="",0,D423)</f>
        <v>0</v>
      </c>
    </row>
    <row r="424" customFormat="false" ht="15" hidden="false" customHeight="true" outlineLevel="0" collapsed="false">
      <c r="A424" s="18" t="s">
        <v>254</v>
      </c>
      <c r="B424" s="18" t="s">
        <v>329</v>
      </c>
      <c r="C424" s="18" t="n">
        <v>692</v>
      </c>
      <c r="D424" s="18" t="n">
        <v>240</v>
      </c>
      <c r="E424" s="18" t="s">
        <v>225</v>
      </c>
      <c r="F424" s="18" t="s">
        <v>159</v>
      </c>
      <c r="G424" s="18" t="n">
        <f aca="false">IF(D424="",0,D424)</f>
        <v>240</v>
      </c>
    </row>
    <row r="425" customFormat="false" ht="15" hidden="false" customHeight="true" outlineLevel="0" collapsed="false">
      <c r="A425" s="18" t="s">
        <v>254</v>
      </c>
      <c r="B425" s="18" t="s">
        <v>330</v>
      </c>
      <c r="C425" s="18" t="n">
        <v>870</v>
      </c>
      <c r="D425" s="18" t="n">
        <v>132</v>
      </c>
      <c r="E425" s="18" t="s">
        <v>169</v>
      </c>
      <c r="F425" s="18" t="s">
        <v>159</v>
      </c>
      <c r="G425" s="18" t="n">
        <f aca="false">IF(D425="",0,D425)</f>
        <v>132</v>
      </c>
    </row>
    <row r="426" customFormat="false" ht="15" hidden="false" customHeight="true" outlineLevel="0" collapsed="false">
      <c r="A426" s="18" t="s">
        <v>254</v>
      </c>
      <c r="B426" s="18" t="s">
        <v>331</v>
      </c>
      <c r="C426" s="18" t="n">
        <v>850</v>
      </c>
      <c r="D426" s="18" t="n">
        <v>159</v>
      </c>
      <c r="E426" s="18" t="s">
        <v>225</v>
      </c>
      <c r="F426" s="18" t="s">
        <v>159</v>
      </c>
      <c r="G426" s="18" t="n">
        <f aca="false">IF(D426="",0,D426)</f>
        <v>159</v>
      </c>
    </row>
    <row r="427" customFormat="false" ht="15" hidden="false" customHeight="true" outlineLevel="0" collapsed="false">
      <c r="A427" s="18" t="s">
        <v>254</v>
      </c>
      <c r="B427" s="18" t="s">
        <v>332</v>
      </c>
      <c r="C427" s="18" t="n">
        <v>0</v>
      </c>
      <c r="D427" s="18" t="n">
        <v>55</v>
      </c>
      <c r="E427" s="18" t="s">
        <v>225</v>
      </c>
      <c r="F427" s="18" t="s">
        <v>159</v>
      </c>
      <c r="G427" s="18" t="n">
        <f aca="false">IF(D427="",0,D427)</f>
        <v>55</v>
      </c>
    </row>
    <row r="428" customFormat="false" ht="15" hidden="false" customHeight="true" outlineLevel="0" collapsed="false">
      <c r="A428" s="18" t="s">
        <v>254</v>
      </c>
      <c r="B428" s="18" t="s">
        <v>333</v>
      </c>
      <c r="C428" s="18" t="n">
        <v>764</v>
      </c>
      <c r="D428" s="18" t="n">
        <v>274</v>
      </c>
      <c r="E428" s="18" t="s">
        <v>170</v>
      </c>
      <c r="F428" s="18" t="s">
        <v>159</v>
      </c>
      <c r="G428" s="18" t="n">
        <f aca="false">IF(D428="",0,D428)</f>
        <v>274</v>
      </c>
    </row>
    <row r="429" customFormat="false" ht="15" hidden="false" customHeight="true" outlineLevel="0" collapsed="false">
      <c r="A429" s="18" t="s">
        <v>254</v>
      </c>
      <c r="B429" s="18" t="s">
        <v>334</v>
      </c>
      <c r="C429" s="18" t="n">
        <v>808</v>
      </c>
      <c r="D429" s="18" t="n">
        <v>4</v>
      </c>
      <c r="E429" s="18" t="s">
        <v>170</v>
      </c>
      <c r="F429" s="18" t="s">
        <v>159</v>
      </c>
      <c r="G429" s="18" t="n">
        <f aca="false">IF(D429="",0,D429)</f>
        <v>4</v>
      </c>
    </row>
    <row r="430" customFormat="false" ht="15" hidden="false" customHeight="true" outlineLevel="0" collapsed="false">
      <c r="A430" s="18" t="s">
        <v>254</v>
      </c>
      <c r="B430" s="18" t="s">
        <v>335</v>
      </c>
      <c r="C430" s="18" t="n">
        <v>514</v>
      </c>
      <c r="D430" s="18" t="n">
        <v>288</v>
      </c>
      <c r="E430" s="18" t="s">
        <v>225</v>
      </c>
      <c r="F430" s="18" t="s">
        <v>159</v>
      </c>
      <c r="G430" s="18" t="n">
        <f aca="false">IF(D430="",0,D430)</f>
        <v>288</v>
      </c>
    </row>
    <row r="431" customFormat="false" ht="15" hidden="false" customHeight="true" outlineLevel="0" collapsed="false">
      <c r="A431" s="18" t="s">
        <v>254</v>
      </c>
      <c r="B431" s="18" t="s">
        <v>336</v>
      </c>
      <c r="C431" s="18" t="n">
        <v>887</v>
      </c>
      <c r="D431" s="18" t="n">
        <v>312</v>
      </c>
      <c r="E431" s="18" t="s">
        <v>169</v>
      </c>
      <c r="F431" s="18" t="s">
        <v>159</v>
      </c>
      <c r="G431" s="18" t="n">
        <f aca="false">IF(D431="",0,D431)</f>
        <v>312</v>
      </c>
    </row>
    <row r="432" customFormat="false" ht="15" hidden="false" customHeight="true" outlineLevel="0" collapsed="false">
      <c r="A432" s="18" t="s">
        <v>254</v>
      </c>
      <c r="B432" s="18" t="s">
        <v>337</v>
      </c>
      <c r="C432" s="18" t="n">
        <v>841</v>
      </c>
      <c r="D432" s="18" t="n">
        <v>53</v>
      </c>
      <c r="E432" s="18" t="s">
        <v>170</v>
      </c>
      <c r="F432" s="18" t="s">
        <v>159</v>
      </c>
      <c r="G432" s="18" t="n">
        <f aca="false">IF(D432="",0,D432)</f>
        <v>53</v>
      </c>
    </row>
    <row r="433" customFormat="false" ht="15" hidden="false" customHeight="true" outlineLevel="0" collapsed="false">
      <c r="A433" s="18" t="s">
        <v>254</v>
      </c>
      <c r="B433" s="18" t="s">
        <v>338</v>
      </c>
      <c r="C433" s="18" t="n">
        <v>0</v>
      </c>
      <c r="D433" s="18" t="n">
        <v>61</v>
      </c>
      <c r="E433" s="18" t="s">
        <v>225</v>
      </c>
      <c r="F433" s="18" t="s">
        <v>159</v>
      </c>
      <c r="G433" s="18" t="n">
        <f aca="false">IF(D433="",0,D433)</f>
        <v>61</v>
      </c>
    </row>
    <row r="434" customFormat="false" ht="15" hidden="false" customHeight="true" outlineLevel="0" collapsed="false">
      <c r="A434" s="18" t="s">
        <v>258</v>
      </c>
      <c r="B434" s="18" t="s">
        <v>327</v>
      </c>
      <c r="C434" s="18" t="n">
        <v>211</v>
      </c>
      <c r="D434" s="18" t="n">
        <v>154</v>
      </c>
      <c r="E434" s="18" t="s">
        <v>194</v>
      </c>
      <c r="F434" s="18" t="s">
        <v>159</v>
      </c>
      <c r="G434" s="18" t="n">
        <f aca="false">IF(D434="",0,D434)</f>
        <v>154</v>
      </c>
    </row>
    <row r="435" customFormat="false" ht="15" hidden="false" customHeight="true" outlineLevel="0" collapsed="false">
      <c r="A435" s="18" t="s">
        <v>258</v>
      </c>
      <c r="B435" s="18" t="s">
        <v>328</v>
      </c>
      <c r="C435" s="18" t="n">
        <v>258</v>
      </c>
      <c r="D435" s="18" t="n">
        <v>75</v>
      </c>
      <c r="E435" s="18" t="s">
        <v>194</v>
      </c>
      <c r="F435" s="18" t="s">
        <v>159</v>
      </c>
      <c r="G435" s="18" t="n">
        <f aca="false">IF(D435="",0,D435)</f>
        <v>75</v>
      </c>
    </row>
    <row r="436" customFormat="false" ht="15" hidden="false" customHeight="true" outlineLevel="0" collapsed="false">
      <c r="A436" s="18" t="s">
        <v>258</v>
      </c>
      <c r="B436" s="18" t="s">
        <v>329</v>
      </c>
      <c r="C436" s="18" t="n">
        <v>0</v>
      </c>
      <c r="D436" s="18" t="n">
        <v>176</v>
      </c>
      <c r="E436" s="18" t="s">
        <v>194</v>
      </c>
      <c r="F436" s="18" t="s">
        <v>159</v>
      </c>
      <c r="G436" s="18" t="n">
        <f aca="false">IF(D436="",0,D436)</f>
        <v>176</v>
      </c>
    </row>
    <row r="437" customFormat="false" ht="15" hidden="false" customHeight="true" outlineLevel="0" collapsed="false">
      <c r="A437" s="18" t="s">
        <v>258</v>
      </c>
      <c r="B437" s="18" t="s">
        <v>330</v>
      </c>
      <c r="C437" s="18" t="n">
        <v>277</v>
      </c>
      <c r="D437" s="18" t="n">
        <v>17</v>
      </c>
      <c r="E437" s="18" t="s">
        <v>194</v>
      </c>
      <c r="F437" s="18" t="s">
        <v>159</v>
      </c>
      <c r="G437" s="18" t="n">
        <f aca="false">IF(D437="",0,D437)</f>
        <v>17</v>
      </c>
    </row>
    <row r="438" customFormat="false" ht="15" hidden="false" customHeight="true" outlineLevel="0" collapsed="false">
      <c r="A438" s="18" t="s">
        <v>258</v>
      </c>
      <c r="B438" s="18" t="s">
        <v>331</v>
      </c>
      <c r="C438" s="18" t="n">
        <v>285</v>
      </c>
      <c r="D438" s="18" t="n">
        <v>150</v>
      </c>
      <c r="E438" s="18" t="s">
        <v>194</v>
      </c>
      <c r="F438" s="18" t="s">
        <v>159</v>
      </c>
      <c r="G438" s="18" t="n">
        <f aca="false">IF(D438="",0,D438)</f>
        <v>150</v>
      </c>
    </row>
    <row r="439" customFormat="false" ht="15" hidden="false" customHeight="true" outlineLevel="0" collapsed="false">
      <c r="A439" s="18" t="s">
        <v>258</v>
      </c>
      <c r="B439" s="18" t="s">
        <v>332</v>
      </c>
      <c r="C439" s="18" t="n">
        <v>213</v>
      </c>
      <c r="D439" s="18"/>
      <c r="E439" s="18" t="s">
        <v>166</v>
      </c>
      <c r="F439" s="18" t="s">
        <v>159</v>
      </c>
      <c r="G439" s="18" t="n">
        <f aca="false">IF(D439="",0,D439)</f>
        <v>0</v>
      </c>
    </row>
    <row r="440" customFormat="false" ht="15" hidden="false" customHeight="true" outlineLevel="0" collapsed="false">
      <c r="A440" s="18" t="s">
        <v>258</v>
      </c>
      <c r="B440" s="18" t="s">
        <v>333</v>
      </c>
      <c r="C440" s="18" t="n">
        <v>352</v>
      </c>
      <c r="D440" s="18" t="n">
        <v>112</v>
      </c>
      <c r="E440" s="18" t="s">
        <v>162</v>
      </c>
      <c r="F440" s="18" t="s">
        <v>159</v>
      </c>
      <c r="G440" s="18" t="n">
        <f aca="false">IF(D440="",0,D440)</f>
        <v>112</v>
      </c>
    </row>
    <row r="441" customFormat="false" ht="15" hidden="false" customHeight="true" outlineLevel="0" collapsed="false">
      <c r="A441" s="18" t="s">
        <v>258</v>
      </c>
      <c r="B441" s="18" t="s">
        <v>334</v>
      </c>
      <c r="C441" s="18" t="n">
        <v>235</v>
      </c>
      <c r="D441" s="18" t="n">
        <v>59</v>
      </c>
      <c r="E441" s="18" t="s">
        <v>166</v>
      </c>
      <c r="F441" s="18" t="s">
        <v>159</v>
      </c>
      <c r="G441" s="18" t="n">
        <f aca="false">IF(D441="",0,D441)</f>
        <v>59</v>
      </c>
    </row>
    <row r="442" customFormat="false" ht="15" hidden="false" customHeight="true" outlineLevel="0" collapsed="false">
      <c r="A442" s="18" t="s">
        <v>258</v>
      </c>
      <c r="B442" s="18" t="s">
        <v>335</v>
      </c>
      <c r="C442" s="18" t="n">
        <v>248</v>
      </c>
      <c r="D442" s="18" t="n">
        <v>24</v>
      </c>
      <c r="E442" s="18" t="s">
        <v>166</v>
      </c>
      <c r="F442" s="18" t="s">
        <v>159</v>
      </c>
      <c r="G442" s="18" t="n">
        <f aca="false">IF(D442="",0,D442)</f>
        <v>24</v>
      </c>
    </row>
    <row r="443" customFormat="false" ht="15" hidden="false" customHeight="true" outlineLevel="0" collapsed="false">
      <c r="A443" s="18" t="s">
        <v>258</v>
      </c>
      <c r="B443" s="18" t="s">
        <v>336</v>
      </c>
      <c r="C443" s="18" t="n">
        <v>217</v>
      </c>
      <c r="D443" s="18"/>
      <c r="E443" s="18" t="s">
        <v>162</v>
      </c>
      <c r="F443" s="18" t="s">
        <v>159</v>
      </c>
      <c r="G443" s="18" t="n">
        <f aca="false">IF(D443="",0,D443)</f>
        <v>0</v>
      </c>
    </row>
    <row r="444" customFormat="false" ht="15" hidden="false" customHeight="true" outlineLevel="0" collapsed="false">
      <c r="A444" s="18" t="s">
        <v>258</v>
      </c>
      <c r="B444" s="18" t="s">
        <v>337</v>
      </c>
      <c r="C444" s="18" t="n">
        <v>301</v>
      </c>
      <c r="D444" s="18" t="n">
        <v>63</v>
      </c>
      <c r="E444" s="18" t="s">
        <v>162</v>
      </c>
      <c r="F444" s="18" t="s">
        <v>159</v>
      </c>
      <c r="G444" s="18" t="n">
        <f aca="false">IF(D444="",0,D444)</f>
        <v>63</v>
      </c>
    </row>
    <row r="445" customFormat="false" ht="15" hidden="false" customHeight="true" outlineLevel="0" collapsed="false">
      <c r="A445" s="18" t="s">
        <v>258</v>
      </c>
      <c r="B445" s="18" t="s">
        <v>338</v>
      </c>
      <c r="C445" s="18" t="n">
        <v>0</v>
      </c>
      <c r="D445" s="18" t="n">
        <v>34</v>
      </c>
      <c r="E445" s="18" t="s">
        <v>162</v>
      </c>
      <c r="F445" s="18" t="s">
        <v>159</v>
      </c>
      <c r="G445" s="18" t="n">
        <f aca="false">IF(D445="",0,D445)</f>
        <v>34</v>
      </c>
    </row>
    <row r="446" customFormat="false" ht="15" hidden="false" customHeight="true" outlineLevel="0" collapsed="false">
      <c r="A446" s="18" t="s">
        <v>260</v>
      </c>
      <c r="B446" s="18" t="s">
        <v>327</v>
      </c>
      <c r="C446" s="18" t="n">
        <v>0</v>
      </c>
      <c r="D446" s="18"/>
      <c r="E446" s="18" t="s">
        <v>162</v>
      </c>
      <c r="F446" s="18" t="s">
        <v>180</v>
      </c>
      <c r="G446" s="18" t="n">
        <f aca="false">IF(D446="",0,D446)</f>
        <v>0</v>
      </c>
    </row>
    <row r="447" customFormat="false" ht="15" hidden="false" customHeight="true" outlineLevel="0" collapsed="false">
      <c r="A447" s="18" t="s">
        <v>260</v>
      </c>
      <c r="B447" s="18" t="s">
        <v>328</v>
      </c>
      <c r="C447" s="18" t="n">
        <v>333</v>
      </c>
      <c r="D447" s="18" t="n">
        <v>63</v>
      </c>
      <c r="E447" s="18" t="s">
        <v>162</v>
      </c>
      <c r="F447" s="18" t="s">
        <v>180</v>
      </c>
      <c r="G447" s="18" t="n">
        <f aca="false">IF(D447="",0,D447)</f>
        <v>63</v>
      </c>
    </row>
    <row r="448" customFormat="false" ht="15" hidden="false" customHeight="true" outlineLevel="0" collapsed="false">
      <c r="A448" s="18" t="s">
        <v>260</v>
      </c>
      <c r="B448" s="18" t="s">
        <v>329</v>
      </c>
      <c r="C448" s="18" t="n">
        <v>0</v>
      </c>
      <c r="D448" s="18" t="n">
        <v>111</v>
      </c>
      <c r="E448" s="18" t="s">
        <v>187</v>
      </c>
      <c r="F448" s="18" t="s">
        <v>180</v>
      </c>
      <c r="G448" s="18" t="n">
        <f aca="false">IF(D448="",0,D448)</f>
        <v>111</v>
      </c>
    </row>
    <row r="449" customFormat="false" ht="15" hidden="false" customHeight="true" outlineLevel="0" collapsed="false">
      <c r="A449" s="18" t="s">
        <v>260</v>
      </c>
      <c r="B449" s="18" t="s">
        <v>330</v>
      </c>
      <c r="C449" s="18" t="n">
        <v>429</v>
      </c>
      <c r="D449" s="18" t="n">
        <v>12</v>
      </c>
      <c r="E449" s="18" t="s">
        <v>162</v>
      </c>
      <c r="F449" s="18" t="s">
        <v>180</v>
      </c>
      <c r="G449" s="18" t="n">
        <f aca="false">IF(D449="",0,D449)</f>
        <v>12</v>
      </c>
    </row>
    <row r="450" customFormat="false" ht="15" hidden="false" customHeight="true" outlineLevel="0" collapsed="false">
      <c r="A450" s="18" t="s">
        <v>260</v>
      </c>
      <c r="B450" s="18" t="s">
        <v>331</v>
      </c>
      <c r="C450" s="18" t="n">
        <v>262</v>
      </c>
      <c r="D450" s="18" t="n">
        <v>36</v>
      </c>
      <c r="E450" s="18" t="s">
        <v>187</v>
      </c>
      <c r="F450" s="18" t="s">
        <v>180</v>
      </c>
      <c r="G450" s="18" t="n">
        <f aca="false">IF(D450="",0,D450)</f>
        <v>36</v>
      </c>
    </row>
    <row r="451" customFormat="false" ht="15" hidden="false" customHeight="true" outlineLevel="0" collapsed="false">
      <c r="A451" s="18" t="s">
        <v>260</v>
      </c>
      <c r="B451" s="18" t="s">
        <v>332</v>
      </c>
      <c r="C451" s="18" t="n">
        <v>402</v>
      </c>
      <c r="D451" s="18" t="n">
        <v>174</v>
      </c>
      <c r="E451" s="18" t="s">
        <v>162</v>
      </c>
      <c r="F451" s="18" t="s">
        <v>180</v>
      </c>
      <c r="G451" s="18" t="n">
        <f aca="false">IF(D451="",0,D451)</f>
        <v>174</v>
      </c>
    </row>
    <row r="452" customFormat="false" ht="15" hidden="false" customHeight="true" outlineLevel="0" collapsed="false">
      <c r="A452" s="18" t="s">
        <v>260</v>
      </c>
      <c r="B452" s="18" t="s">
        <v>333</v>
      </c>
      <c r="C452" s="18" t="n">
        <v>308</v>
      </c>
      <c r="D452" s="18" t="n">
        <v>15</v>
      </c>
      <c r="E452" s="18" t="s">
        <v>166</v>
      </c>
      <c r="F452" s="18" t="s">
        <v>180</v>
      </c>
      <c r="G452" s="18" t="n">
        <f aca="false">IF(D452="",0,D452)</f>
        <v>15</v>
      </c>
    </row>
    <row r="453" customFormat="false" ht="15" hidden="false" customHeight="true" outlineLevel="0" collapsed="false">
      <c r="A453" s="18" t="s">
        <v>260</v>
      </c>
      <c r="B453" s="18" t="s">
        <v>334</v>
      </c>
      <c r="C453" s="18" t="n">
        <v>286</v>
      </c>
      <c r="D453" s="18" t="n">
        <v>74</v>
      </c>
      <c r="E453" s="18" t="s">
        <v>162</v>
      </c>
      <c r="F453" s="18" t="s">
        <v>180</v>
      </c>
      <c r="G453" s="18" t="n">
        <f aca="false">IF(D453="",0,D453)</f>
        <v>74</v>
      </c>
    </row>
    <row r="454" customFormat="false" ht="15" hidden="false" customHeight="true" outlineLevel="0" collapsed="false">
      <c r="A454" s="18" t="s">
        <v>260</v>
      </c>
      <c r="B454" s="18" t="s">
        <v>335</v>
      </c>
      <c r="C454" s="18" t="n">
        <v>260</v>
      </c>
      <c r="D454" s="18" t="n">
        <v>0</v>
      </c>
      <c r="E454" s="18" t="s">
        <v>166</v>
      </c>
      <c r="F454" s="18" t="s">
        <v>180</v>
      </c>
      <c r="G454" s="18" t="n">
        <f aca="false">IF(D454="",0,D454)</f>
        <v>0</v>
      </c>
    </row>
    <row r="455" customFormat="false" ht="15" hidden="false" customHeight="true" outlineLevel="0" collapsed="false">
      <c r="A455" s="18" t="s">
        <v>260</v>
      </c>
      <c r="B455" s="18" t="s">
        <v>336</v>
      </c>
      <c r="C455" s="18" t="n">
        <v>0</v>
      </c>
      <c r="D455" s="18" t="n">
        <v>124</v>
      </c>
      <c r="E455" s="18" t="s">
        <v>162</v>
      </c>
      <c r="F455" s="18" t="s">
        <v>180</v>
      </c>
      <c r="G455" s="18" t="n">
        <f aca="false">IF(D455="",0,D455)</f>
        <v>124</v>
      </c>
    </row>
    <row r="456" customFormat="false" ht="15" hidden="false" customHeight="true" outlineLevel="0" collapsed="false">
      <c r="A456" s="18" t="s">
        <v>260</v>
      </c>
      <c r="B456" s="18" t="s">
        <v>337</v>
      </c>
      <c r="C456" s="18" t="n">
        <v>0</v>
      </c>
      <c r="D456" s="18" t="n">
        <v>44</v>
      </c>
      <c r="E456" s="18" t="s">
        <v>194</v>
      </c>
      <c r="F456" s="18" t="s">
        <v>180</v>
      </c>
      <c r="G456" s="18" t="n">
        <f aca="false">IF(D456="",0,D456)</f>
        <v>44</v>
      </c>
    </row>
    <row r="457" customFormat="false" ht="15" hidden="false" customHeight="true" outlineLevel="0" collapsed="false">
      <c r="A457" s="18" t="s">
        <v>260</v>
      </c>
      <c r="B457" s="18" t="s">
        <v>338</v>
      </c>
      <c r="C457" s="18" t="n">
        <v>0</v>
      </c>
      <c r="D457" s="18" t="n">
        <v>21</v>
      </c>
      <c r="E457" s="18" t="s">
        <v>162</v>
      </c>
      <c r="F457" s="18" t="s">
        <v>180</v>
      </c>
      <c r="G457" s="18" t="n">
        <f aca="false">IF(D457="",0,D457)</f>
        <v>21</v>
      </c>
    </row>
    <row r="458" customFormat="false" ht="15" hidden="false" customHeight="true" outlineLevel="0" collapsed="false">
      <c r="A458" s="18" t="s">
        <v>262</v>
      </c>
      <c r="B458" s="18" t="s">
        <v>327</v>
      </c>
      <c r="C458" s="18" t="n">
        <v>708</v>
      </c>
      <c r="D458" s="18" t="n">
        <v>104</v>
      </c>
      <c r="E458" s="18" t="s">
        <v>158</v>
      </c>
      <c r="F458" s="18" t="s">
        <v>163</v>
      </c>
      <c r="G458" s="18" t="n">
        <f aca="false">IF(D458="",0,D458)</f>
        <v>104</v>
      </c>
    </row>
    <row r="459" customFormat="false" ht="15" hidden="false" customHeight="true" outlineLevel="0" collapsed="false">
      <c r="A459" s="18" t="s">
        <v>262</v>
      </c>
      <c r="B459" s="18" t="s">
        <v>328</v>
      </c>
      <c r="C459" s="18" t="n">
        <v>672</v>
      </c>
      <c r="D459" s="18" t="n">
        <v>187</v>
      </c>
      <c r="E459" s="18" t="s">
        <v>253</v>
      </c>
      <c r="F459" s="18" t="s">
        <v>163</v>
      </c>
      <c r="G459" s="18" t="n">
        <f aca="false">IF(D459="",0,D459)</f>
        <v>187</v>
      </c>
    </row>
    <row r="460" customFormat="false" ht="15" hidden="false" customHeight="true" outlineLevel="0" collapsed="false">
      <c r="A460" s="18" t="s">
        <v>262</v>
      </c>
      <c r="B460" s="18" t="s">
        <v>329</v>
      </c>
      <c r="C460" s="18" t="n">
        <v>625</v>
      </c>
      <c r="D460" s="18" t="n">
        <v>258</v>
      </c>
      <c r="E460" s="18" t="s">
        <v>158</v>
      </c>
      <c r="F460" s="18" t="s">
        <v>163</v>
      </c>
      <c r="G460" s="18" t="n">
        <f aca="false">IF(D460="",0,D460)</f>
        <v>258</v>
      </c>
    </row>
    <row r="461" customFormat="false" ht="15" hidden="false" customHeight="true" outlineLevel="0" collapsed="false">
      <c r="A461" s="18" t="s">
        <v>262</v>
      </c>
      <c r="B461" s="18" t="s">
        <v>330</v>
      </c>
      <c r="C461" s="18" t="n">
        <v>961</v>
      </c>
      <c r="D461" s="18" t="n">
        <v>387</v>
      </c>
      <c r="E461" s="18" t="s">
        <v>253</v>
      </c>
      <c r="F461" s="18" t="s">
        <v>163</v>
      </c>
      <c r="G461" s="18" t="n">
        <f aca="false">IF(D461="",0,D461)</f>
        <v>387</v>
      </c>
    </row>
    <row r="462" customFormat="false" ht="15" hidden="false" customHeight="true" outlineLevel="0" collapsed="false">
      <c r="A462" s="18" t="s">
        <v>262</v>
      </c>
      <c r="B462" s="18" t="s">
        <v>331</v>
      </c>
      <c r="C462" s="18" t="n">
        <v>935</v>
      </c>
      <c r="D462" s="18" t="n">
        <v>119</v>
      </c>
      <c r="E462" s="18" t="s">
        <v>253</v>
      </c>
      <c r="F462" s="18" t="s">
        <v>163</v>
      </c>
      <c r="G462" s="18" t="n">
        <f aca="false">IF(D462="",0,D462)</f>
        <v>119</v>
      </c>
    </row>
    <row r="463" customFormat="false" ht="15" hidden="false" customHeight="true" outlineLevel="0" collapsed="false">
      <c r="A463" s="18" t="s">
        <v>262</v>
      </c>
      <c r="B463" s="18" t="s">
        <v>332</v>
      </c>
      <c r="C463" s="18" t="n">
        <v>626</v>
      </c>
      <c r="D463" s="18" t="n">
        <v>18</v>
      </c>
      <c r="E463" s="18" t="s">
        <v>158</v>
      </c>
      <c r="F463" s="18" t="s">
        <v>163</v>
      </c>
      <c r="G463" s="18" t="n">
        <f aca="false">IF(D463="",0,D463)</f>
        <v>18</v>
      </c>
    </row>
    <row r="464" customFormat="false" ht="15" hidden="false" customHeight="true" outlineLevel="0" collapsed="false">
      <c r="A464" s="18" t="s">
        <v>262</v>
      </c>
      <c r="B464" s="18" t="s">
        <v>333</v>
      </c>
      <c r="C464" s="18" t="n">
        <v>919</v>
      </c>
      <c r="D464" s="18" t="n">
        <v>144</v>
      </c>
      <c r="E464" s="18" t="s">
        <v>158</v>
      </c>
      <c r="F464" s="18" t="s">
        <v>163</v>
      </c>
      <c r="G464" s="18" t="n">
        <f aca="false">IF(D464="",0,D464)</f>
        <v>144</v>
      </c>
    </row>
    <row r="465" customFormat="false" ht="15" hidden="false" customHeight="true" outlineLevel="0" collapsed="false">
      <c r="A465" s="18" t="s">
        <v>262</v>
      </c>
      <c r="B465" s="18" t="s">
        <v>334</v>
      </c>
      <c r="C465" s="18" t="n">
        <v>1020</v>
      </c>
      <c r="D465" s="18" t="n">
        <v>254</v>
      </c>
      <c r="E465" s="18" t="s">
        <v>253</v>
      </c>
      <c r="F465" s="18" t="s">
        <v>163</v>
      </c>
      <c r="G465" s="18" t="n">
        <f aca="false">IF(D465="",0,D465)</f>
        <v>254</v>
      </c>
    </row>
    <row r="466" customFormat="false" ht="15" hidden="false" customHeight="true" outlineLevel="0" collapsed="false">
      <c r="A466" s="18" t="s">
        <v>262</v>
      </c>
      <c r="B466" s="18" t="s">
        <v>335</v>
      </c>
      <c r="C466" s="18" t="n">
        <v>924</v>
      </c>
      <c r="D466" s="18" t="n">
        <v>179</v>
      </c>
      <c r="E466" s="18" t="s">
        <v>177</v>
      </c>
      <c r="F466" s="18" t="s">
        <v>163</v>
      </c>
      <c r="G466" s="18" t="n">
        <f aca="false">IF(D466="",0,D466)</f>
        <v>179</v>
      </c>
    </row>
    <row r="467" customFormat="false" ht="15" hidden="false" customHeight="true" outlineLevel="0" collapsed="false">
      <c r="A467" s="18" t="s">
        <v>262</v>
      </c>
      <c r="B467" s="18" t="s">
        <v>336</v>
      </c>
      <c r="C467" s="18" t="n">
        <v>790</v>
      </c>
      <c r="D467" s="18" t="n">
        <v>417</v>
      </c>
      <c r="E467" s="18" t="s">
        <v>177</v>
      </c>
      <c r="F467" s="18" t="s">
        <v>163</v>
      </c>
      <c r="G467" s="18" t="n">
        <f aca="false">IF(D467="",0,D467)</f>
        <v>417</v>
      </c>
    </row>
    <row r="468" customFormat="false" ht="15" hidden="false" customHeight="true" outlineLevel="0" collapsed="false">
      <c r="A468" s="18" t="s">
        <v>262</v>
      </c>
      <c r="B468" s="18" t="s">
        <v>337</v>
      </c>
      <c r="C468" s="18" t="n">
        <v>762</v>
      </c>
      <c r="D468" s="18" t="n">
        <v>15</v>
      </c>
      <c r="E468" s="18" t="s">
        <v>253</v>
      </c>
      <c r="F468" s="18" t="s">
        <v>163</v>
      </c>
      <c r="G468" s="18" t="n">
        <f aca="false">IF(D468="",0,D468)</f>
        <v>15</v>
      </c>
    </row>
    <row r="469" customFormat="false" ht="15" hidden="false" customHeight="true" outlineLevel="0" collapsed="false">
      <c r="A469" s="18" t="s">
        <v>262</v>
      </c>
      <c r="B469" s="18" t="s">
        <v>338</v>
      </c>
      <c r="C469" s="18" t="n">
        <v>980</v>
      </c>
      <c r="D469" s="18" t="n">
        <v>84</v>
      </c>
      <c r="E469" s="18" t="s">
        <v>158</v>
      </c>
      <c r="F469" s="18" t="s">
        <v>163</v>
      </c>
      <c r="G469" s="18" t="n">
        <f aca="false">IF(D469="",0,D469)</f>
        <v>84</v>
      </c>
    </row>
    <row r="470" customFormat="false" ht="15" hidden="false" customHeight="true" outlineLevel="0" collapsed="false">
      <c r="A470" s="18" t="s">
        <v>264</v>
      </c>
      <c r="B470" s="18" t="s">
        <v>327</v>
      </c>
      <c r="C470" s="18" t="n">
        <v>481</v>
      </c>
      <c r="D470" s="18" t="n">
        <v>181</v>
      </c>
      <c r="E470" s="18" t="s">
        <v>187</v>
      </c>
      <c r="F470" s="18" t="s">
        <v>163</v>
      </c>
      <c r="G470" s="18" t="n">
        <f aca="false">IF(D470="",0,D470)</f>
        <v>181</v>
      </c>
    </row>
    <row r="471" customFormat="false" ht="15" hidden="false" customHeight="true" outlineLevel="0" collapsed="false">
      <c r="A471" s="18" t="s">
        <v>264</v>
      </c>
      <c r="B471" s="18" t="s">
        <v>328</v>
      </c>
      <c r="C471" s="18" t="n">
        <v>366</v>
      </c>
      <c r="D471" s="18" t="n">
        <v>10</v>
      </c>
      <c r="E471" s="18" t="s">
        <v>162</v>
      </c>
      <c r="F471" s="18" t="s">
        <v>163</v>
      </c>
      <c r="G471" s="18" t="n">
        <f aca="false">IF(D471="",0,D471)</f>
        <v>10</v>
      </c>
    </row>
    <row r="472" customFormat="false" ht="15" hidden="false" customHeight="true" outlineLevel="0" collapsed="false">
      <c r="A472" s="18" t="s">
        <v>264</v>
      </c>
      <c r="B472" s="18" t="s">
        <v>329</v>
      </c>
      <c r="C472" s="18" t="n">
        <v>353</v>
      </c>
      <c r="D472" s="18" t="n">
        <v>213</v>
      </c>
      <c r="E472" s="18" t="s">
        <v>194</v>
      </c>
      <c r="F472" s="18" t="s">
        <v>163</v>
      </c>
      <c r="G472" s="18" t="n">
        <f aca="false">IF(D472="",0,D472)</f>
        <v>213</v>
      </c>
    </row>
    <row r="473" customFormat="false" ht="15" hidden="false" customHeight="true" outlineLevel="0" collapsed="false">
      <c r="A473" s="18" t="s">
        <v>264</v>
      </c>
      <c r="B473" s="18" t="s">
        <v>330</v>
      </c>
      <c r="C473" s="18" t="n">
        <v>447</v>
      </c>
      <c r="D473" s="18" t="n">
        <v>40</v>
      </c>
      <c r="E473" s="18" t="s">
        <v>194</v>
      </c>
      <c r="F473" s="18" t="s">
        <v>163</v>
      </c>
      <c r="G473" s="18" t="n">
        <f aca="false">IF(D473="",0,D473)</f>
        <v>40</v>
      </c>
    </row>
    <row r="474" customFormat="false" ht="15" hidden="false" customHeight="true" outlineLevel="0" collapsed="false">
      <c r="A474" s="18" t="s">
        <v>264</v>
      </c>
      <c r="B474" s="18" t="s">
        <v>331</v>
      </c>
      <c r="C474" s="18" t="n">
        <v>420</v>
      </c>
      <c r="D474" s="18" t="n">
        <v>7</v>
      </c>
      <c r="E474" s="18" t="s">
        <v>162</v>
      </c>
      <c r="F474" s="18" t="s">
        <v>163</v>
      </c>
      <c r="G474" s="18" t="n">
        <f aca="false">IF(D474="",0,D474)</f>
        <v>7</v>
      </c>
    </row>
    <row r="475" customFormat="false" ht="15" hidden="false" customHeight="true" outlineLevel="0" collapsed="false">
      <c r="A475" s="18" t="s">
        <v>264</v>
      </c>
      <c r="B475" s="18" t="s">
        <v>332</v>
      </c>
      <c r="C475" s="18" t="n">
        <v>322</v>
      </c>
      <c r="D475" s="18" t="n">
        <v>82</v>
      </c>
      <c r="E475" s="18" t="s">
        <v>187</v>
      </c>
      <c r="F475" s="18" t="s">
        <v>163</v>
      </c>
      <c r="G475" s="18" t="n">
        <f aca="false">IF(D475="",0,D475)</f>
        <v>82</v>
      </c>
    </row>
    <row r="476" customFormat="false" ht="15" hidden="false" customHeight="true" outlineLevel="0" collapsed="false">
      <c r="A476" s="18" t="s">
        <v>264</v>
      </c>
      <c r="B476" s="18" t="s">
        <v>333</v>
      </c>
      <c r="C476" s="18" t="n">
        <v>355</v>
      </c>
      <c r="D476" s="18" t="n">
        <v>150</v>
      </c>
      <c r="E476" s="18" t="s">
        <v>187</v>
      </c>
      <c r="F476" s="18" t="s">
        <v>163</v>
      </c>
      <c r="G476" s="18" t="n">
        <f aca="false">IF(D476="",0,D476)</f>
        <v>150</v>
      </c>
    </row>
    <row r="477" customFormat="false" ht="15" hidden="false" customHeight="true" outlineLevel="0" collapsed="false">
      <c r="A477" s="18" t="s">
        <v>264</v>
      </c>
      <c r="B477" s="18" t="s">
        <v>334</v>
      </c>
      <c r="C477" s="18" t="n">
        <v>431</v>
      </c>
      <c r="D477" s="18" t="n">
        <v>47</v>
      </c>
      <c r="E477" s="18" t="s">
        <v>194</v>
      </c>
      <c r="F477" s="18" t="s">
        <v>163</v>
      </c>
      <c r="G477" s="18" t="n">
        <f aca="false">IF(D477="",0,D477)</f>
        <v>47</v>
      </c>
    </row>
    <row r="478" customFormat="false" ht="15" hidden="false" customHeight="true" outlineLevel="0" collapsed="false">
      <c r="A478" s="18" t="s">
        <v>264</v>
      </c>
      <c r="B478" s="18" t="s">
        <v>335</v>
      </c>
      <c r="C478" s="18" t="n">
        <v>450</v>
      </c>
      <c r="D478" s="18" t="n">
        <v>105</v>
      </c>
      <c r="E478" s="18" t="s">
        <v>187</v>
      </c>
      <c r="F478" s="18" t="s">
        <v>163</v>
      </c>
      <c r="G478" s="18" t="n">
        <f aca="false">IF(D478="",0,D478)</f>
        <v>105</v>
      </c>
    </row>
    <row r="479" customFormat="false" ht="15" hidden="false" customHeight="true" outlineLevel="0" collapsed="false">
      <c r="A479" s="18" t="s">
        <v>264</v>
      </c>
      <c r="B479" s="18" t="s">
        <v>336</v>
      </c>
      <c r="C479" s="18" t="n">
        <v>435</v>
      </c>
      <c r="D479" s="18" t="n">
        <v>196</v>
      </c>
      <c r="E479" s="18" t="s">
        <v>166</v>
      </c>
      <c r="F479" s="18" t="s">
        <v>163</v>
      </c>
      <c r="G479" s="18" t="n">
        <f aca="false">IF(D479="",0,D479)</f>
        <v>196</v>
      </c>
    </row>
    <row r="480" customFormat="false" ht="15" hidden="false" customHeight="true" outlineLevel="0" collapsed="false">
      <c r="A480" s="18" t="s">
        <v>264</v>
      </c>
      <c r="B480" s="18" t="s">
        <v>337</v>
      </c>
      <c r="C480" s="18" t="n">
        <v>374</v>
      </c>
      <c r="D480" s="18" t="n">
        <v>16</v>
      </c>
      <c r="E480" s="18" t="s">
        <v>194</v>
      </c>
      <c r="F480" s="18" t="s">
        <v>163</v>
      </c>
      <c r="G480" s="18" t="n">
        <f aca="false">IF(D480="",0,D480)</f>
        <v>16</v>
      </c>
    </row>
    <row r="481" customFormat="false" ht="15" hidden="false" customHeight="true" outlineLevel="0" collapsed="false">
      <c r="A481" s="18" t="s">
        <v>264</v>
      </c>
      <c r="B481" s="18" t="s">
        <v>338</v>
      </c>
      <c r="C481" s="18" t="n">
        <v>493</v>
      </c>
      <c r="D481" s="18" t="n">
        <v>122</v>
      </c>
      <c r="E481" s="18" t="s">
        <v>166</v>
      </c>
      <c r="F481" s="18" t="s">
        <v>163</v>
      </c>
      <c r="G481" s="18" t="n">
        <f aca="false">IF(D481="",0,D481)</f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6" min="4" style="1" width="13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10" min="9" style="1" width="12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0"/>
  </cols>
  <sheetData>
    <row r="2" customFormat="false" ht="17.25" hidden="false" customHeight="true" outlineLevel="0" collapsed="false">
      <c r="B2" s="21" t="s">
        <v>339</v>
      </c>
    </row>
    <row r="3" customFormat="false" ht="15" hidden="false" customHeight="true" outlineLevel="0" collapsed="false">
      <c r="B3" s="3" t="s">
        <v>340</v>
      </c>
    </row>
    <row r="5" customFormat="false" ht="25.5" hidden="false" customHeight="true" outlineLevel="0" collapsed="false">
      <c r="A5" s="25" t="s">
        <v>19</v>
      </c>
      <c r="B5" s="25" t="s">
        <v>147</v>
      </c>
      <c r="C5" s="25" t="s">
        <v>21</v>
      </c>
      <c r="D5" s="25" t="s">
        <v>341</v>
      </c>
      <c r="E5" s="25" t="s">
        <v>342</v>
      </c>
      <c r="F5" s="25" t="s">
        <v>343</v>
      </c>
      <c r="G5" s="25" t="s">
        <v>344</v>
      </c>
      <c r="H5" s="25" t="s">
        <v>345</v>
      </c>
      <c r="I5" s="25" t="s">
        <v>346</v>
      </c>
      <c r="J5" s="25" t="s">
        <v>347</v>
      </c>
      <c r="K5" s="25" t="s">
        <v>348</v>
      </c>
      <c r="L5" s="25" t="s">
        <v>349</v>
      </c>
      <c r="M5" s="25" t="s">
        <v>350</v>
      </c>
    </row>
    <row r="6" customFormat="false" ht="15" hidden="false" customHeight="true" outlineLevel="0" collapsed="false">
      <c r="A6" s="18" t="s">
        <v>249</v>
      </c>
      <c r="B6" s="31" t="str">
        <f aca="false">INDEX(Raw_SKU_Master!$B$2:$B$41,MATCH(A6,Raw_SKU_Master!$A$2:$A$41,0))</f>
        <v>Raw Material Item 04 - Raw Material - Metal Stock</v>
      </c>
      <c r="C6" s="31" t="str">
        <f aca="false">INDEX(Raw_SKU_Master!$C$2:$C$41,MATCH(A6,Raw_SKU_Master!$A$2:$A$41,0))</f>
        <v>Raw Material - Metal Stock</v>
      </c>
      <c r="D6" s="19" t="n">
        <f aca="false">SUMIF(Raw_Sales_Weekly!$A$2:$A$1806,A6,Raw_Sales_Weekly!$D$2:$D$1806)</f>
        <v>544456.12</v>
      </c>
      <c r="E6" s="18" t="n">
        <f aca="false">SUMIF(Raw_Sales_Weekly!$A$2:$A$1806,A6,Raw_Sales_Weekly!$C$2:$C$1806)</f>
        <v>10524</v>
      </c>
      <c r="F6" s="19" t="n">
        <f aca="false">SUM($D$6:D6)</f>
        <v>544456.12</v>
      </c>
      <c r="G6" s="32" t="n">
        <f aca="false">F6/SUM($D$6:$D$45)</f>
        <v>0.172125321695986</v>
      </c>
      <c r="H6" s="18" t="str">
        <f aca="false">IF(G6&lt;=Assumptions!$C$12,"A",IF(G6&lt;=Assumptions!$C$13,"B","C"))</f>
        <v>A</v>
      </c>
      <c r="I6" s="33" t="n">
        <f aca="false">AVERAGEIF(Raw_Sales_Weekly!$A$2:$A$1806,A6,Raw_Sales_Weekly!$C$2:$C$1806)</f>
        <v>210.48</v>
      </c>
      <c r="J6" s="33" t="n">
        <f aca="false">SQRT(SUMPRODUCT((Raw_Sales_Weekly!$A$2:$A$1806=A6)*(Raw_Sales_Weekly!$C$2:$C$1806-I6)^2)/COUNTIF(Raw_Sales_Weekly!$A$2:$A$1806,A6))</f>
        <v>121.642137436005</v>
      </c>
      <c r="K6" s="34" t="n">
        <f aca="false">IFERROR(J6/I6,0)</f>
        <v>0.577927296826327</v>
      </c>
      <c r="L6" s="18" t="str">
        <f aca="false">IF(K6&lt;=Assumptions!$C$14,"X",IF(K6&lt;=Assumptions!$C$15,"Y","Z"))</f>
        <v>Z</v>
      </c>
      <c r="M6" s="18" t="str">
        <f aca="false">H6&amp;L6</f>
        <v>AZ</v>
      </c>
    </row>
    <row r="7" customFormat="false" ht="15" hidden="false" customHeight="true" outlineLevel="0" collapsed="false">
      <c r="A7" s="18" t="s">
        <v>247</v>
      </c>
      <c r="B7" s="31" t="str">
        <f aca="false">INDEX(Raw_SKU_Master!$B$2:$B$41,MATCH(A7,Raw_SKU_Master!$A$2:$A$41,0))</f>
        <v>Raw Material Item 03 - Raw Material - Metal Stock</v>
      </c>
      <c r="C7" s="31" t="str">
        <f aca="false">INDEX(Raw_SKU_Master!$C$2:$C$41,MATCH(A7,Raw_SKU_Master!$A$2:$A$41,0))</f>
        <v>Raw Material - Metal Stock</v>
      </c>
      <c r="D7" s="19" t="n">
        <f aca="false">SUMIF(Raw_Sales_Weekly!$A$2:$A$1806,A7,Raw_Sales_Weekly!$D$2:$D$1806)</f>
        <v>303904.71</v>
      </c>
      <c r="E7" s="18" t="n">
        <f aca="false">SUMIF(Raw_Sales_Weekly!$A$2:$A$1806,A7,Raw_Sales_Weekly!$C$2:$C$1806)</f>
        <v>8252</v>
      </c>
      <c r="F7" s="19" t="n">
        <f aca="false">SUM($D$6:D7)</f>
        <v>848360.83</v>
      </c>
      <c r="G7" s="32" t="n">
        <f aca="false">F7/SUM($D$6:$D$45)</f>
        <v>0.268202294756139</v>
      </c>
      <c r="H7" s="18" t="str">
        <f aca="false">IF(G7&lt;=Assumptions!$C$12,"A",IF(G7&lt;=Assumptions!$C$13,"B","C"))</f>
        <v>A</v>
      </c>
      <c r="I7" s="33" t="n">
        <f aca="false">AVERAGEIF(Raw_Sales_Weekly!$A$2:$A$1806,A7,Raw_Sales_Weekly!$C$2:$C$1806)</f>
        <v>161.803921568627</v>
      </c>
      <c r="J7" s="33" t="n">
        <f aca="false">SQRT(SUMPRODUCT((Raw_Sales_Weekly!$A$2:$A$1806=A7)*(Raw_Sales_Weekly!$C$2:$C$1806-I7)^2)/COUNTIF(Raw_Sales_Weekly!$A$2:$A$1806,A7))</f>
        <v>93.0900933226376</v>
      </c>
      <c r="K7" s="34" t="n">
        <f aca="false">IFERROR(J7/I7,0)</f>
        <v>0.575326558343979</v>
      </c>
      <c r="L7" s="18" t="str">
        <f aca="false">IF(K7&lt;=Assumptions!$C$14,"X",IF(K7&lt;=Assumptions!$C$15,"Y","Z"))</f>
        <v>Z</v>
      </c>
      <c r="M7" s="18" t="str">
        <f aca="false">H7&amp;L7</f>
        <v>AZ</v>
      </c>
    </row>
    <row r="8" customFormat="false" ht="15" hidden="false" customHeight="true" outlineLevel="0" collapsed="false">
      <c r="A8" s="18" t="s">
        <v>228</v>
      </c>
      <c r="B8" s="31" t="str">
        <f aca="false">INDEX(Raw_SKU_Master!$B$2:$B$41,MATCH(A8,Raw_SKU_Master!$A$2:$A$41,0))</f>
        <v>Pneumatic Components Item 01 - Pneumatic Components</v>
      </c>
      <c r="C8" s="31" t="str">
        <f aca="false">INDEX(Raw_SKU_Master!$C$2:$C$41,MATCH(A8,Raw_SKU_Master!$A$2:$A$41,0))</f>
        <v>Pneumatic Components</v>
      </c>
      <c r="D8" s="19" t="n">
        <f aca="false">SUMIF(Raw_Sales_Weekly!$A$2:$A$1806,A8,Raw_Sales_Weekly!$D$2:$D$1806)</f>
        <v>239857.28</v>
      </c>
      <c r="E8" s="18" t="n">
        <f aca="false">SUMIF(Raw_Sales_Weekly!$A$2:$A$1806,A8,Raw_Sales_Weekly!$C$2:$C$1806)</f>
        <v>8260</v>
      </c>
      <c r="F8" s="19" t="n">
        <f aca="false">SUM($D$6:D8)</f>
        <v>1088218.11</v>
      </c>
      <c r="G8" s="32" t="n">
        <f aca="false">F8/SUM($D$6:$D$45)</f>
        <v>0.344031199904867</v>
      </c>
      <c r="H8" s="18" t="str">
        <f aca="false">IF(G8&lt;=Assumptions!$C$12,"A",IF(G8&lt;=Assumptions!$C$13,"B","C"))</f>
        <v>A</v>
      </c>
      <c r="I8" s="33" t="n">
        <f aca="false">AVERAGEIF(Raw_Sales_Weekly!$A$2:$A$1806,A8,Raw_Sales_Weekly!$C$2:$C$1806)</f>
        <v>165.2</v>
      </c>
      <c r="J8" s="33" t="n">
        <f aca="false">SQRT(SUMPRODUCT((Raw_Sales_Weekly!$A$2:$A$1806=A8)*(Raw_Sales_Weekly!$C$2:$C$1806-I8)^2)/COUNTIF(Raw_Sales_Weekly!$A$2:$A$1806,A8))</f>
        <v>80.4310885168167</v>
      </c>
      <c r="K8" s="34" t="n">
        <f aca="false">IFERROR(J8/I8,0)</f>
        <v>0.486870995864508</v>
      </c>
      <c r="L8" s="18" t="str">
        <f aca="false">IF(K8&lt;=Assumptions!$C$14,"X",IF(K8&lt;=Assumptions!$C$15,"Y","Z"))</f>
        <v>Y</v>
      </c>
      <c r="M8" s="18" t="str">
        <f aca="false">H8&amp;L8</f>
        <v>AY</v>
      </c>
    </row>
    <row r="9" customFormat="false" ht="15" hidden="false" customHeight="true" outlineLevel="0" collapsed="false">
      <c r="A9" s="18" t="s">
        <v>241</v>
      </c>
      <c r="B9" s="31" t="str">
        <f aca="false">INDEX(Raw_SKU_Master!$B$2:$B$41,MATCH(A9,Raw_SKU_Master!$A$2:$A$41,0))</f>
        <v>Raw Material Item 01 - Raw Material - Metal Stock</v>
      </c>
      <c r="C9" s="31" t="str">
        <f aca="false">INDEX(Raw_SKU_Master!$C$2:$C$41,MATCH(A9,Raw_SKU_Master!$A$2:$A$41,0))</f>
        <v>Raw Material - Metal Stock</v>
      </c>
      <c r="D9" s="19" t="n">
        <f aca="false">SUMIF(Raw_Sales_Weekly!$A$2:$A$1806,A9,Raw_Sales_Weekly!$D$2:$D$1806)</f>
        <v>187809.68</v>
      </c>
      <c r="E9" s="18" t="n">
        <f aca="false">SUMIF(Raw_Sales_Weekly!$A$2:$A$1806,A9,Raw_Sales_Weekly!$C$2:$C$1806)</f>
        <v>4081</v>
      </c>
      <c r="F9" s="19" t="n">
        <f aca="false">SUM($D$6:D9)</f>
        <v>1276027.79</v>
      </c>
      <c r="G9" s="32" t="n">
        <f aca="false">F9/SUM($D$6:$D$45)</f>
        <v>0.403405684643178</v>
      </c>
      <c r="H9" s="18" t="str">
        <f aca="false">IF(G9&lt;=Assumptions!$C$12,"A",IF(G9&lt;=Assumptions!$C$13,"B","C"))</f>
        <v>A</v>
      </c>
      <c r="I9" s="33" t="n">
        <f aca="false">AVERAGEIF(Raw_Sales_Weekly!$A$2:$A$1806,A9,Raw_Sales_Weekly!$C$2:$C$1806)</f>
        <v>80.0196078431373</v>
      </c>
      <c r="J9" s="33" t="n">
        <f aca="false">SQRT(SUMPRODUCT((Raw_Sales_Weekly!$A$2:$A$1806=A9)*(Raw_Sales_Weekly!$C$2:$C$1806-I9)^2)/COUNTIF(Raw_Sales_Weekly!$A$2:$A$1806,A9))</f>
        <v>50.2068232985176</v>
      </c>
      <c r="K9" s="34" t="n">
        <f aca="false">IFERROR(J9/I9,0)</f>
        <v>0.627431508998872</v>
      </c>
      <c r="L9" s="18" t="str">
        <f aca="false">IF(K9&lt;=Assumptions!$C$14,"X",IF(K9&lt;=Assumptions!$C$15,"Y","Z"))</f>
        <v>Z</v>
      </c>
      <c r="M9" s="18" t="str">
        <f aca="false">H9&amp;L9</f>
        <v>AZ</v>
      </c>
    </row>
    <row r="10" customFormat="false" ht="15" hidden="false" customHeight="true" outlineLevel="0" collapsed="false">
      <c r="A10" s="18" t="s">
        <v>199</v>
      </c>
      <c r="B10" s="31" t="str">
        <f aca="false">INDEX(Raw_SKU_Master!$B$2:$B$41,MATCH(A10,Raw_SKU_Master!$A$2:$A$41,0))</f>
        <v>Electric Motors Item 05 - Electric Motors &amp; Drives</v>
      </c>
      <c r="C10" s="31" t="str">
        <f aca="false">INDEX(Raw_SKU_Master!$C$2:$C$41,MATCH(A10,Raw_SKU_Master!$A$2:$A$41,0))</f>
        <v>Electric Motors &amp; Drives</v>
      </c>
      <c r="D10" s="19" t="n">
        <f aca="false">SUMIF(Raw_Sales_Weekly!$A$2:$A$1806,A10,Raw_Sales_Weekly!$D$2:$D$1806)</f>
        <v>156097.75</v>
      </c>
      <c r="E10" s="18" t="n">
        <f aca="false">SUMIF(Raw_Sales_Weekly!$A$2:$A$1806,A10,Raw_Sales_Weekly!$C$2:$C$1806)</f>
        <v>3722</v>
      </c>
      <c r="F10" s="19" t="n">
        <f aca="false">SUM($D$6:D10)</f>
        <v>1432125.54</v>
      </c>
      <c r="G10" s="32" t="n">
        <f aca="false">F10/SUM($D$6:$D$45)</f>
        <v>0.452754703687669</v>
      </c>
      <c r="H10" s="18" t="str">
        <f aca="false">IF(G10&lt;=Assumptions!$C$12,"A",IF(G10&lt;=Assumptions!$C$13,"B","C"))</f>
        <v>A</v>
      </c>
      <c r="I10" s="33" t="n">
        <f aca="false">AVERAGEIF(Raw_Sales_Weekly!$A$2:$A$1806,A10,Raw_Sales_Weekly!$C$2:$C$1806)</f>
        <v>71.5769230769231</v>
      </c>
      <c r="J10" s="33" t="n">
        <f aca="false">SQRT(SUMPRODUCT((Raw_Sales_Weekly!$A$2:$A$1806=A10)*(Raw_Sales_Weekly!$C$2:$C$1806-I10)^2)/COUNTIF(Raw_Sales_Weekly!$A$2:$A$1806,A10))</f>
        <v>10.5088719914434</v>
      </c>
      <c r="K10" s="34" t="n">
        <f aca="false">IFERROR(J10/I10,0)</f>
        <v>0.146819275538705</v>
      </c>
      <c r="L10" s="18" t="str">
        <f aca="false">IF(K10&lt;=Assumptions!$C$14,"X",IF(K10&lt;=Assumptions!$C$15,"Y","Z"))</f>
        <v>X</v>
      </c>
      <c r="M10" s="18" t="str">
        <f aca="false">H10&amp;L10</f>
        <v>AX</v>
      </c>
    </row>
    <row r="11" customFormat="false" ht="15" hidden="false" customHeight="true" outlineLevel="0" collapsed="false">
      <c r="A11" s="18" t="s">
        <v>188</v>
      </c>
      <c r="B11" s="31" t="str">
        <f aca="false">INDEX(Raw_SKU_Master!$B$2:$B$41,MATCH(A11,Raw_SKU_Master!$A$2:$A$41,0))</f>
        <v>Electric Motors Item 01 - Electric Motors &amp; Drives</v>
      </c>
      <c r="C11" s="31" t="str">
        <f aca="false">INDEX(Raw_SKU_Master!$C$2:$C$41,MATCH(A11,Raw_SKU_Master!$A$2:$A$41,0))</f>
        <v>Electric Motors &amp; Drives</v>
      </c>
      <c r="D11" s="19" t="n">
        <f aca="false">SUMIF(Raw_Sales_Weekly!$A$2:$A$1806,A11,Raw_Sales_Weekly!$D$2:$D$1806)</f>
        <v>142199.48</v>
      </c>
      <c r="E11" s="18" t="n">
        <f aca="false">SUMIF(Raw_Sales_Weekly!$A$2:$A$1806,A11,Raw_Sales_Weekly!$C$2:$C$1806)</f>
        <v>5128</v>
      </c>
      <c r="F11" s="19" t="n">
        <f aca="false">SUM($D$6:D11)</f>
        <v>1574325.02</v>
      </c>
      <c r="G11" s="32" t="n">
        <f aca="false">F11/SUM($D$6:$D$45)</f>
        <v>0.497709899048503</v>
      </c>
      <c r="H11" s="18" t="str">
        <f aca="false">IF(G11&lt;=Assumptions!$C$12,"A",IF(G11&lt;=Assumptions!$C$13,"B","C"))</f>
        <v>A</v>
      </c>
      <c r="I11" s="33" t="n">
        <f aca="false">AVERAGEIF(Raw_Sales_Weekly!$A$2:$A$1806,A11,Raw_Sales_Weekly!$C$2:$C$1806)</f>
        <v>98.6153846153846</v>
      </c>
      <c r="J11" s="33" t="n">
        <f aca="false">SQRT(SUMPRODUCT((Raw_Sales_Weekly!$A$2:$A$1806=A11)*(Raw_Sales_Weekly!$C$2:$C$1806-I11)^2)/COUNTIF(Raw_Sales_Weekly!$A$2:$A$1806,A11))</f>
        <v>13.1473218187552</v>
      </c>
      <c r="K11" s="34" t="n">
        <f aca="false">IFERROR(J11/I11,0)</f>
        <v>0.133319176009218</v>
      </c>
      <c r="L11" s="18" t="str">
        <f aca="false">IF(K11&lt;=Assumptions!$C$14,"X",IF(K11&lt;=Assumptions!$C$15,"Y","Z"))</f>
        <v>X</v>
      </c>
      <c r="M11" s="18" t="str">
        <f aca="false">H11&amp;L11</f>
        <v>AX</v>
      </c>
    </row>
    <row r="12" customFormat="false" ht="15" hidden="false" customHeight="true" outlineLevel="0" collapsed="false">
      <c r="A12" s="18" t="s">
        <v>192</v>
      </c>
      <c r="B12" s="31" t="str">
        <f aca="false">INDEX(Raw_SKU_Master!$B$2:$B$41,MATCH(A12,Raw_SKU_Master!$A$2:$A$41,0))</f>
        <v>Electric Motors Item 02 - Electric Motors &amp; Drives</v>
      </c>
      <c r="C12" s="31" t="str">
        <f aca="false">INDEX(Raw_SKU_Master!$C$2:$C$41,MATCH(A12,Raw_SKU_Master!$A$2:$A$41,0))</f>
        <v>Electric Motors &amp; Drives</v>
      </c>
      <c r="D12" s="19" t="n">
        <f aca="false">SUMIF(Raw_Sales_Weekly!$A$2:$A$1806,A12,Raw_Sales_Weekly!$D$2:$D$1806)</f>
        <v>140581.06</v>
      </c>
      <c r="E12" s="18" t="n">
        <f aca="false">SUMIF(Raw_Sales_Weekly!$A$2:$A$1806,A12,Raw_Sales_Weekly!$C$2:$C$1806)</f>
        <v>4406</v>
      </c>
      <c r="F12" s="19" t="n">
        <f aca="false">SUM($D$6:D12)</f>
        <v>1714906.08</v>
      </c>
      <c r="G12" s="32" t="n">
        <f aca="false">F12/SUM($D$6:$D$45)</f>
        <v>0.542153444245245</v>
      </c>
      <c r="H12" s="18" t="str">
        <f aca="false">IF(G12&lt;=Assumptions!$C$12,"A",IF(G12&lt;=Assumptions!$C$13,"B","C"))</f>
        <v>A</v>
      </c>
      <c r="I12" s="33" t="n">
        <f aca="false">AVERAGEIF(Raw_Sales_Weekly!$A$2:$A$1806,A12,Raw_Sales_Weekly!$C$2:$C$1806)</f>
        <v>209.809523809524</v>
      </c>
      <c r="J12" s="33" t="n">
        <f aca="false">SQRT(SUMPRODUCT((Raw_Sales_Weekly!$A$2:$A$1806=A12)*(Raw_Sales_Weekly!$C$2:$C$1806-I12)^2)/COUNTIF(Raw_Sales_Weekly!$A$2:$A$1806,A12))</f>
        <v>30.5623781292638</v>
      </c>
      <c r="K12" s="34" t="n">
        <f aca="false">IFERROR(J12/I12,0)</f>
        <v>0.145667258446332</v>
      </c>
      <c r="L12" s="18" t="str">
        <f aca="false">IF(K12&lt;=Assumptions!$C$14,"X",IF(K12&lt;=Assumptions!$C$15,"Y","Z"))</f>
        <v>X</v>
      </c>
      <c r="M12" s="18" t="str">
        <f aca="false">H12&amp;L12</f>
        <v>AX</v>
      </c>
    </row>
    <row r="13" customFormat="false" ht="15" hidden="false" customHeight="true" outlineLevel="0" collapsed="false">
      <c r="A13" s="18" t="s">
        <v>197</v>
      </c>
      <c r="B13" s="31" t="str">
        <f aca="false">INDEX(Raw_SKU_Master!$B$2:$B$41,MATCH(A13,Raw_SKU_Master!$A$2:$A$41,0))</f>
        <v>Electric Motors Item 04 - Electric Motors &amp; Drives</v>
      </c>
      <c r="C13" s="31" t="str">
        <f aca="false">INDEX(Raw_SKU_Master!$C$2:$C$41,MATCH(A13,Raw_SKU_Master!$A$2:$A$41,0))</f>
        <v>Electric Motors &amp; Drives</v>
      </c>
      <c r="D13" s="19" t="n">
        <f aca="false">SUMIF(Raw_Sales_Weekly!$A$2:$A$1806,A13,Raw_Sales_Weekly!$D$2:$D$1806)</f>
        <v>140269.93</v>
      </c>
      <c r="E13" s="18" t="n">
        <f aca="false">SUMIF(Raw_Sales_Weekly!$A$2:$A$1806,A13,Raw_Sales_Weekly!$C$2:$C$1806)</f>
        <v>5749</v>
      </c>
      <c r="F13" s="19" t="n">
        <f aca="false">SUM($D$6:D13)</f>
        <v>1855176.01</v>
      </c>
      <c r="G13" s="32" t="n">
        <f aca="false">F13/SUM($D$6:$D$45)</f>
        <v>0.586498628252955</v>
      </c>
      <c r="H13" s="18" t="str">
        <f aca="false">IF(G13&lt;=Assumptions!$C$12,"A",IF(G13&lt;=Assumptions!$C$13,"B","C"))</f>
        <v>A</v>
      </c>
      <c r="I13" s="33" t="n">
        <f aca="false">AVERAGEIF(Raw_Sales_Weekly!$A$2:$A$1806,A13,Raw_Sales_Weekly!$C$2:$C$1806)</f>
        <v>110.557692307692</v>
      </c>
      <c r="J13" s="33" t="n">
        <f aca="false">SQRT(SUMPRODUCT((Raw_Sales_Weekly!$A$2:$A$1806=A13)*(Raw_Sales_Weekly!$C$2:$C$1806-I13)^2)/COUNTIF(Raw_Sales_Weekly!$A$2:$A$1806,A13))</f>
        <v>15.5011332855406</v>
      </c>
      <c r="K13" s="34" t="n">
        <f aca="false">IFERROR(J13/I13,0)</f>
        <v>0.140208545981581</v>
      </c>
      <c r="L13" s="18" t="str">
        <f aca="false">IF(K13&lt;=Assumptions!$C$14,"X",IF(K13&lt;=Assumptions!$C$15,"Y","Z"))</f>
        <v>X</v>
      </c>
      <c r="M13" s="18" t="str">
        <f aca="false">H13&amp;L13</f>
        <v>AX</v>
      </c>
    </row>
    <row r="14" customFormat="false" ht="15" hidden="false" customHeight="true" outlineLevel="0" collapsed="false">
      <c r="A14" s="18" t="s">
        <v>202</v>
      </c>
      <c r="B14" s="31" t="str">
        <f aca="false">INDEX(Raw_SKU_Master!$B$2:$B$41,MATCH(A14,Raw_SKU_Master!$A$2:$A$41,0))</f>
        <v>Sensors Item 01 - Sensors &amp; Controls</v>
      </c>
      <c r="C14" s="31" t="str">
        <f aca="false">INDEX(Raw_SKU_Master!$C$2:$C$41,MATCH(A14,Raw_SKU_Master!$A$2:$A$41,0))</f>
        <v>Sensors &amp; Controls</v>
      </c>
      <c r="D14" s="19" t="n">
        <f aca="false">SUMIF(Raw_Sales_Weekly!$A$2:$A$1806,A14,Raw_Sales_Weekly!$D$2:$D$1806)</f>
        <v>108623.95</v>
      </c>
      <c r="E14" s="18" t="n">
        <f aca="false">SUMIF(Raw_Sales_Weekly!$A$2:$A$1806,A14,Raw_Sales_Weekly!$C$2:$C$1806)</f>
        <v>9605</v>
      </c>
      <c r="F14" s="19" t="n">
        <f aca="false">SUM($D$6:D14)</f>
        <v>1963799.96</v>
      </c>
      <c r="G14" s="32" t="n">
        <f aca="false">F14/SUM($D$6:$D$45)</f>
        <v>0.620839196116603</v>
      </c>
      <c r="H14" s="18" t="str">
        <f aca="false">IF(G14&lt;=Assumptions!$C$12,"A",IF(G14&lt;=Assumptions!$C$13,"B","C"))</f>
        <v>A</v>
      </c>
      <c r="I14" s="33" t="n">
        <f aca="false">AVERAGEIF(Raw_Sales_Weekly!$A$2:$A$1806,A14,Raw_Sales_Weekly!$C$2:$C$1806)</f>
        <v>184.711538461538</v>
      </c>
      <c r="J14" s="33" t="n">
        <f aca="false">SQRT(SUMPRODUCT((Raw_Sales_Weekly!$A$2:$A$1806=A14)*(Raw_Sales_Weekly!$C$2:$C$1806-I14)^2)/COUNTIF(Raw_Sales_Weekly!$A$2:$A$1806,A14))</f>
        <v>110.242972310198</v>
      </c>
      <c r="K14" s="34" t="n">
        <f aca="false">IFERROR(J14/I14,0)</f>
        <v>0.596838579919862</v>
      </c>
      <c r="L14" s="18" t="str">
        <f aca="false">IF(K14&lt;=Assumptions!$C$14,"X",IF(K14&lt;=Assumptions!$C$15,"Y","Z"))</f>
        <v>Z</v>
      </c>
      <c r="M14" s="18" t="str">
        <f aca="false">H14&amp;L14</f>
        <v>AZ</v>
      </c>
    </row>
    <row r="15" customFormat="false" ht="15" hidden="false" customHeight="true" outlineLevel="0" collapsed="false">
      <c r="A15" s="18" t="s">
        <v>213</v>
      </c>
      <c r="B15" s="31" t="str">
        <f aca="false">INDEX(Raw_SKU_Master!$B$2:$B$41,MATCH(A15,Raw_SKU_Master!$A$2:$A$41,0))</f>
        <v>Sensors Item 05 - Sensors &amp; Controls</v>
      </c>
      <c r="C15" s="31" t="str">
        <f aca="false">INDEX(Raw_SKU_Master!$C$2:$C$41,MATCH(A15,Raw_SKU_Master!$A$2:$A$41,0))</f>
        <v>Sensors &amp; Controls</v>
      </c>
      <c r="D15" s="19" t="n">
        <f aca="false">SUMIF(Raw_Sales_Weekly!$A$2:$A$1806,A15,Raw_Sales_Weekly!$D$2:$D$1806)</f>
        <v>107028.35</v>
      </c>
      <c r="E15" s="18" t="n">
        <f aca="false">SUMIF(Raw_Sales_Weekly!$A$2:$A$1806,A15,Raw_Sales_Weekly!$C$2:$C$1806)</f>
        <v>11884</v>
      </c>
      <c r="F15" s="19" t="n">
        <f aca="false">SUM($D$6:D15)</f>
        <v>2070828.31</v>
      </c>
      <c r="G15" s="32" t="n">
        <f aca="false">F15/SUM($D$6:$D$45)</f>
        <v>0.65467532817136</v>
      </c>
      <c r="H15" s="18" t="str">
        <f aca="false">IF(G15&lt;=Assumptions!$C$12,"A",IF(G15&lt;=Assumptions!$C$13,"B","C"))</f>
        <v>A</v>
      </c>
      <c r="I15" s="33" t="n">
        <f aca="false">AVERAGEIF(Raw_Sales_Weekly!$A$2:$A$1806,A15,Raw_Sales_Weekly!$C$2:$C$1806)</f>
        <v>228.538461538462</v>
      </c>
      <c r="J15" s="33" t="n">
        <f aca="false">SQRT(SUMPRODUCT((Raw_Sales_Weekly!$A$2:$A$1806=A15)*(Raw_Sales_Weekly!$C$2:$C$1806-I15)^2)/COUNTIF(Raw_Sales_Weekly!$A$2:$A$1806,A15))</f>
        <v>72.0727361069415</v>
      </c>
      <c r="K15" s="34" t="n">
        <f aca="false">IFERROR(J15/I15,0)</f>
        <v>0.315363705617718</v>
      </c>
      <c r="L15" s="18" t="str">
        <f aca="false">IF(K15&lt;=Assumptions!$C$14,"X",IF(K15&lt;=Assumptions!$C$15,"Y","Z"))</f>
        <v>Y</v>
      </c>
      <c r="M15" s="18" t="str">
        <f aca="false">H15&amp;L15</f>
        <v>AY</v>
      </c>
    </row>
    <row r="16" customFormat="false" ht="15" hidden="false" customHeight="true" outlineLevel="0" collapsed="false">
      <c r="A16" s="18" t="s">
        <v>251</v>
      </c>
      <c r="B16" s="31" t="str">
        <f aca="false">INDEX(Raw_SKU_Master!$B$2:$B$41,MATCH(A16,Raw_SKU_Master!$A$2:$A$41,0))</f>
        <v>Raw Material Item 05 - Raw Material - Metal Stock</v>
      </c>
      <c r="C16" s="31" t="str">
        <f aca="false">INDEX(Raw_SKU_Master!$C$2:$C$41,MATCH(A16,Raw_SKU_Master!$A$2:$A$41,0))</f>
        <v>Raw Material - Metal Stock</v>
      </c>
      <c r="D16" s="19" t="n">
        <f aca="false">SUMIF(Raw_Sales_Weekly!$A$2:$A$1806,A16,Raw_Sales_Weekly!$D$2:$D$1806)</f>
        <v>99301.07</v>
      </c>
      <c r="E16" s="18" t="n">
        <f aca="false">SUMIF(Raw_Sales_Weekly!$A$2:$A$1806,A16,Raw_Sales_Weekly!$C$2:$C$1806)</f>
        <v>2368</v>
      </c>
      <c r="F16" s="19" t="n">
        <f aca="false">SUM($D$6:D16)</f>
        <v>2170129.38</v>
      </c>
      <c r="G16" s="32" t="n">
        <f aca="false">F16/SUM($D$6:$D$45)</f>
        <v>0.686068544246341</v>
      </c>
      <c r="H16" s="18" t="str">
        <f aca="false">IF(G16&lt;=Assumptions!$C$12,"A",IF(G16&lt;=Assumptions!$C$13,"B","C"))</f>
        <v>A</v>
      </c>
      <c r="I16" s="33" t="n">
        <f aca="false">AVERAGEIF(Raw_Sales_Weekly!$A$2:$A$1806,A16,Raw_Sales_Weekly!$C$2:$C$1806)</f>
        <v>45.5384615384615</v>
      </c>
      <c r="J16" s="33" t="n">
        <f aca="false">SQRT(SUMPRODUCT((Raw_Sales_Weekly!$A$2:$A$1806=A16)*(Raw_Sales_Weekly!$C$2:$C$1806-I16)^2)/COUNTIF(Raw_Sales_Weekly!$A$2:$A$1806,A16))</f>
        <v>6.31987566352115</v>
      </c>
      <c r="K16" s="34" t="n">
        <f aca="false">IFERROR(J16/I16,0)</f>
        <v>0.138781053421917</v>
      </c>
      <c r="L16" s="18" t="str">
        <f aca="false">IF(K16&lt;=Assumptions!$C$14,"X",IF(K16&lt;=Assumptions!$C$15,"Y","Z"))</f>
        <v>X</v>
      </c>
      <c r="M16" s="18" t="str">
        <f aca="false">H16&amp;L16</f>
        <v>AX</v>
      </c>
    </row>
    <row r="17" customFormat="false" ht="15" hidden="false" customHeight="true" outlineLevel="0" collapsed="false">
      <c r="A17" s="18" t="s">
        <v>210</v>
      </c>
      <c r="B17" s="31" t="str">
        <f aca="false">INDEX(Raw_SKU_Master!$B$2:$B$41,MATCH(A17,Raw_SKU_Master!$A$2:$A$41,0))</f>
        <v>Sensors Item 04 - Sensors &amp; Controls</v>
      </c>
      <c r="C17" s="31" t="str">
        <f aca="false">INDEX(Raw_SKU_Master!$C$2:$C$41,MATCH(A17,Raw_SKU_Master!$A$2:$A$41,0))</f>
        <v>Sensors &amp; Controls</v>
      </c>
      <c r="D17" s="19" t="n">
        <f aca="false">SUMIF(Raw_Sales_Weekly!$A$2:$A$1806,A17,Raw_Sales_Weekly!$D$2:$D$1806)</f>
        <v>91339.24</v>
      </c>
      <c r="E17" s="18" t="n">
        <f aca="false">SUMIF(Raw_Sales_Weekly!$A$2:$A$1806,A17,Raw_Sales_Weekly!$C$2:$C$1806)</f>
        <v>9392</v>
      </c>
      <c r="F17" s="19" t="n">
        <f aca="false">SUM($D$6:D17)</f>
        <v>2261468.62</v>
      </c>
      <c r="G17" s="32" t="n">
        <f aca="false">F17/SUM($D$6:$D$45)</f>
        <v>0.714944693289292</v>
      </c>
      <c r="H17" s="18" t="str">
        <f aca="false">IF(G17&lt;=Assumptions!$C$12,"A",IF(G17&lt;=Assumptions!$C$13,"B","C"))</f>
        <v>A</v>
      </c>
      <c r="I17" s="33" t="n">
        <f aca="false">AVERAGEIF(Raw_Sales_Weekly!$A$2:$A$1806,A17,Raw_Sales_Weekly!$C$2:$C$1806)</f>
        <v>180.615384615385</v>
      </c>
      <c r="J17" s="33" t="n">
        <f aca="false">SQRT(SUMPRODUCT((Raw_Sales_Weekly!$A$2:$A$1806=A17)*(Raw_Sales_Weekly!$C$2:$C$1806-I17)^2)/COUNTIF(Raw_Sales_Weekly!$A$2:$A$1806,A17))</f>
        <v>55.4672993913995</v>
      </c>
      <c r="K17" s="34" t="n">
        <f aca="false">IFERROR(J17/I17,0)</f>
        <v>0.307101742797357</v>
      </c>
      <c r="L17" s="18" t="str">
        <f aca="false">IF(K17&lt;=Assumptions!$C$14,"X",IF(K17&lt;=Assumptions!$C$15,"Y","Z"))</f>
        <v>Y</v>
      </c>
      <c r="M17" s="18" t="str">
        <f aca="false">H17&amp;L17</f>
        <v>AY</v>
      </c>
    </row>
    <row r="18" customFormat="false" ht="15" hidden="false" customHeight="true" outlineLevel="0" collapsed="false">
      <c r="A18" s="18" t="s">
        <v>232</v>
      </c>
      <c r="B18" s="31" t="str">
        <f aca="false">INDEX(Raw_SKU_Master!$B$2:$B$41,MATCH(A18,Raw_SKU_Master!$A$2:$A$41,0))</f>
        <v>Pneumatic Components Item 02 - Pneumatic Components</v>
      </c>
      <c r="C18" s="31" t="str">
        <f aca="false">INDEX(Raw_SKU_Master!$C$2:$C$41,MATCH(A18,Raw_SKU_Master!$A$2:$A$41,0))</f>
        <v>Pneumatic Components</v>
      </c>
      <c r="D18" s="19" t="n">
        <f aca="false">SUMIF(Raw_Sales_Weekly!$A$2:$A$1806,A18,Raw_Sales_Weekly!$D$2:$D$1806)</f>
        <v>85326.76</v>
      </c>
      <c r="E18" s="18" t="n">
        <f aca="false">SUMIF(Raw_Sales_Weekly!$A$2:$A$1806,A18,Raw_Sales_Weekly!$C$2:$C$1806)</f>
        <v>3591</v>
      </c>
      <c r="F18" s="19" t="n">
        <f aca="false">SUM($D$6:D18)</f>
        <v>2346795.38</v>
      </c>
      <c r="G18" s="32" t="n">
        <f aca="false">F18/SUM($D$6:$D$45)</f>
        <v>0.741920046260393</v>
      </c>
      <c r="H18" s="18" t="str">
        <f aca="false">IF(G18&lt;=Assumptions!$C$12,"A",IF(G18&lt;=Assumptions!$C$13,"B","C"))</f>
        <v>A</v>
      </c>
      <c r="I18" s="33" t="n">
        <f aca="false">AVERAGEIF(Raw_Sales_Weekly!$A$2:$A$1806,A18,Raw_Sales_Weekly!$C$2:$C$1806)</f>
        <v>69.0576923076923</v>
      </c>
      <c r="J18" s="33" t="n">
        <f aca="false">SQRT(SUMPRODUCT((Raw_Sales_Weekly!$A$2:$A$1806=A18)*(Raw_Sales_Weekly!$C$2:$C$1806-I18)^2)/COUNTIF(Raw_Sales_Weekly!$A$2:$A$1806,A18))</f>
        <v>24.6766889855576</v>
      </c>
      <c r="K18" s="34" t="n">
        <f aca="false">IFERROR(J18/I18,0)</f>
        <v>0.357334399122528</v>
      </c>
      <c r="L18" s="18" t="str">
        <f aca="false">IF(K18&lt;=Assumptions!$C$14,"X",IF(K18&lt;=Assumptions!$C$15,"Y","Z"))</f>
        <v>Y</v>
      </c>
      <c r="M18" s="18" t="str">
        <f aca="false">H18&amp;L18</f>
        <v>AY</v>
      </c>
    </row>
    <row r="19" customFormat="false" ht="15" hidden="false" customHeight="true" outlineLevel="0" collapsed="false">
      <c r="A19" s="18" t="s">
        <v>185</v>
      </c>
      <c r="B19" s="31" t="str">
        <f aca="false">INDEX(Raw_SKU_Master!$B$2:$B$41,MATCH(A19,Raw_SKU_Master!$A$2:$A$41,0))</f>
        <v>Bearings Item 05 - Bearings &amp; Bushings</v>
      </c>
      <c r="C19" s="31" t="str">
        <f aca="false">INDEX(Raw_SKU_Master!$C$2:$C$41,MATCH(A19,Raw_SKU_Master!$A$2:$A$41,0))</f>
        <v>Bearings &amp; Bushings</v>
      </c>
      <c r="D19" s="19" t="n">
        <f aca="false">SUMIF(Raw_Sales_Weekly!$A$2:$A$1806,A19,Raw_Sales_Weekly!$D$2:$D$1806)</f>
        <v>81527.06</v>
      </c>
      <c r="E19" s="18" t="n">
        <f aca="false">SUMIF(Raw_Sales_Weekly!$A$2:$A$1806,A19,Raw_Sales_Weekly!$C$2:$C$1806)</f>
        <v>9117</v>
      </c>
      <c r="F19" s="19" t="n">
        <f aca="false">SUM($D$6:D19)</f>
        <v>2428322.44</v>
      </c>
      <c r="G19" s="32" t="n">
        <f aca="false">F19/SUM($D$6:$D$45)</f>
        <v>0.767694155346407</v>
      </c>
      <c r="H19" s="18" t="str">
        <f aca="false">IF(G19&lt;=Assumptions!$C$12,"A",IF(G19&lt;=Assumptions!$C$13,"B","C"))</f>
        <v>A</v>
      </c>
      <c r="I19" s="33" t="n">
        <f aca="false">AVERAGEIF(Raw_Sales_Weekly!$A$2:$A$1806,A19,Raw_Sales_Weekly!$C$2:$C$1806)</f>
        <v>175.326923076923</v>
      </c>
      <c r="J19" s="33" t="n">
        <f aca="false">SQRT(SUMPRODUCT((Raw_Sales_Weekly!$A$2:$A$1806=A19)*(Raw_Sales_Weekly!$C$2:$C$1806-I19)^2)/COUNTIF(Raw_Sales_Weekly!$A$2:$A$1806,A19))</f>
        <v>37.5037029729918</v>
      </c>
      <c r="K19" s="34" t="n">
        <f aca="false">IFERROR(J19/I19,0)</f>
        <v>0.213907267148796</v>
      </c>
      <c r="L19" s="18" t="str">
        <f aca="false">IF(K19&lt;=Assumptions!$C$14,"X",IF(K19&lt;=Assumptions!$C$15,"Y","Z"))</f>
        <v>X</v>
      </c>
      <c r="M19" s="18" t="str">
        <f aca="false">H19&amp;L19</f>
        <v>AX</v>
      </c>
    </row>
    <row r="20" customFormat="false" ht="15" hidden="false" customHeight="true" outlineLevel="0" collapsed="false">
      <c r="A20" s="18" t="s">
        <v>195</v>
      </c>
      <c r="B20" s="31" t="str">
        <f aca="false">INDEX(Raw_SKU_Master!$B$2:$B$41,MATCH(A20,Raw_SKU_Master!$A$2:$A$41,0))</f>
        <v>Electric Motors Item 03 - Electric Motors &amp; Drives</v>
      </c>
      <c r="C20" s="31" t="str">
        <f aca="false">INDEX(Raw_SKU_Master!$C$2:$C$41,MATCH(A20,Raw_SKU_Master!$A$2:$A$41,0))</f>
        <v>Electric Motors &amp; Drives</v>
      </c>
      <c r="D20" s="19" t="n">
        <f aca="false">SUMIF(Raw_Sales_Weekly!$A$2:$A$1806,A20,Raw_Sales_Weekly!$D$2:$D$1806)</f>
        <v>74239.1</v>
      </c>
      <c r="E20" s="18" t="n">
        <f aca="false">SUMIF(Raw_Sales_Weekly!$A$2:$A$1806,A20,Raw_Sales_Weekly!$C$2:$C$1806)</f>
        <v>2124</v>
      </c>
      <c r="F20" s="19" t="n">
        <f aca="false">SUM($D$6:D20)</f>
        <v>2502561.54</v>
      </c>
      <c r="G20" s="32" t="n">
        <f aca="false">F20/SUM($D$6:$D$45)</f>
        <v>0.791164235855228</v>
      </c>
      <c r="H20" s="18" t="str">
        <f aca="false">IF(G20&lt;=Assumptions!$C$12,"A",IF(G20&lt;=Assumptions!$C$13,"B","C"))</f>
        <v>A</v>
      </c>
      <c r="I20" s="33" t="n">
        <f aca="false">AVERAGEIF(Raw_Sales_Weekly!$A$2:$A$1806,A20,Raw_Sales_Weekly!$C$2:$C$1806)</f>
        <v>42.48</v>
      </c>
      <c r="J20" s="33" t="n">
        <f aca="false">SQRT(SUMPRODUCT((Raw_Sales_Weekly!$A$2:$A$1806=A20)*(Raw_Sales_Weekly!$C$2:$C$1806-I20)^2)/COUNTIF(Raw_Sales_Weekly!$A$2:$A$1806,A20))</f>
        <v>22.7633389466484</v>
      </c>
      <c r="K20" s="34" t="n">
        <f aca="false">IFERROR(J20/I20,0)</f>
        <v>0.535860144695113</v>
      </c>
      <c r="L20" s="18" t="str">
        <f aca="false">IF(K20&lt;=Assumptions!$C$14,"X",IF(K20&lt;=Assumptions!$C$15,"Y","Z"))</f>
        <v>Y</v>
      </c>
      <c r="M20" s="18" t="str">
        <f aca="false">H20&amp;L20</f>
        <v>AY</v>
      </c>
    </row>
    <row r="21" customFormat="false" ht="15" hidden="false" customHeight="true" outlineLevel="0" collapsed="false">
      <c r="A21" s="18" t="s">
        <v>234</v>
      </c>
      <c r="B21" s="31" t="str">
        <f aca="false">INDEX(Raw_SKU_Master!$B$2:$B$41,MATCH(A21,Raw_SKU_Master!$A$2:$A$41,0))</f>
        <v>Pneumatic Components Item 03 - Pneumatic Components</v>
      </c>
      <c r="C21" s="31" t="str">
        <f aca="false">INDEX(Raw_SKU_Master!$C$2:$C$41,MATCH(A21,Raw_SKU_Master!$A$2:$A$41,0))</f>
        <v>Pneumatic Components</v>
      </c>
      <c r="D21" s="19" t="n">
        <f aca="false">SUMIF(Raw_Sales_Weekly!$A$2:$A$1806,A21,Raw_Sales_Weekly!$D$2:$D$1806)</f>
        <v>67251.67</v>
      </c>
      <c r="E21" s="18" t="n">
        <f aca="false">SUMIF(Raw_Sales_Weekly!$A$2:$A$1806,A21,Raw_Sales_Weekly!$C$2:$C$1806)</f>
        <v>5398</v>
      </c>
      <c r="F21" s="19" t="n">
        <f aca="false">SUM($D$6:D21)</f>
        <v>2569813.21</v>
      </c>
      <c r="G21" s="32" t="n">
        <f aca="false">F21/SUM($D$6:$D$45)</f>
        <v>0.812425297873123</v>
      </c>
      <c r="H21" s="18" t="str">
        <f aca="false">IF(G21&lt;=Assumptions!$C$12,"A",IF(G21&lt;=Assumptions!$C$13,"B","C"))</f>
        <v>B</v>
      </c>
      <c r="I21" s="33" t="n">
        <f aca="false">AVERAGEIF(Raw_Sales_Weekly!$A$2:$A$1806,A21,Raw_Sales_Weekly!$C$2:$C$1806)</f>
        <v>105.843137254902</v>
      </c>
      <c r="J21" s="33" t="n">
        <f aca="false">SQRT(SUMPRODUCT((Raw_Sales_Weekly!$A$2:$A$1806=A21)*(Raw_Sales_Weekly!$C$2:$C$1806-I21)^2)/COUNTIF(Raw_Sales_Weekly!$A$2:$A$1806,A21))</f>
        <v>63.9995013917525</v>
      </c>
      <c r="K21" s="34" t="n">
        <f aca="false">IFERROR(J21/I21,0)</f>
        <v>0.604663684879469</v>
      </c>
      <c r="L21" s="18" t="str">
        <f aca="false">IF(K21&lt;=Assumptions!$C$14,"X",IF(K21&lt;=Assumptions!$C$15,"Y","Z"))</f>
        <v>Z</v>
      </c>
      <c r="M21" s="18" t="str">
        <f aca="false">H21&amp;L21</f>
        <v>BZ</v>
      </c>
    </row>
    <row r="22" customFormat="false" ht="15" hidden="false" customHeight="true" outlineLevel="0" collapsed="false">
      <c r="A22" s="18" t="s">
        <v>171</v>
      </c>
      <c r="B22" s="31" t="str">
        <f aca="false">INDEX(Raw_SKU_Master!$B$2:$B$41,MATCH(A22,Raw_SKU_Master!$A$2:$A$41,0))</f>
        <v>Fasteners Item 05 - Fasteners &amp; Hardware</v>
      </c>
      <c r="C22" s="31" t="str">
        <f aca="false">INDEX(Raw_SKU_Master!$C$2:$C$41,MATCH(A22,Raw_SKU_Master!$A$2:$A$41,0))</f>
        <v>Fasteners &amp; Hardware</v>
      </c>
      <c r="D22" s="19" t="n">
        <f aca="false">SUMIF(Raw_Sales_Weekly!$A$2:$A$1806,A22,Raw_Sales_Weekly!$D$2:$D$1806)</f>
        <v>62566.26</v>
      </c>
      <c r="E22" s="18" t="n">
        <f aca="false">SUMIF(Raw_Sales_Weekly!$A$2:$A$1806,A22,Raw_Sales_Weekly!$C$2:$C$1806)</f>
        <v>9182</v>
      </c>
      <c r="F22" s="19" t="n">
        <f aca="false">SUM($D$6:D22)</f>
        <v>2632379.47</v>
      </c>
      <c r="G22" s="32" t="n">
        <f aca="false">F22/SUM($D$6:$D$45)</f>
        <v>0.832205106078447</v>
      </c>
      <c r="H22" s="18" t="str">
        <f aca="false">IF(G22&lt;=Assumptions!$C$12,"A",IF(G22&lt;=Assumptions!$C$13,"B","C"))</f>
        <v>B</v>
      </c>
      <c r="I22" s="33" t="n">
        <f aca="false">AVERAGEIF(Raw_Sales_Weekly!$A$2:$A$1806,A22,Raw_Sales_Weekly!$C$2:$C$1806)</f>
        <v>176.576923076923</v>
      </c>
      <c r="J22" s="33" t="n">
        <f aca="false">SQRT(SUMPRODUCT((Raw_Sales_Weekly!$A$2:$A$1806=A22)*(Raw_Sales_Weekly!$C$2:$C$1806-I22)^2)/COUNTIF(Raw_Sales_Weekly!$A$2:$A$1806,A22))</f>
        <v>34.4094945270846</v>
      </c>
      <c r="K22" s="34" t="n">
        <f aca="false">IFERROR(J22/I22,0)</f>
        <v>0.19486971415905</v>
      </c>
      <c r="L22" s="18" t="str">
        <f aca="false">IF(K22&lt;=Assumptions!$C$14,"X",IF(K22&lt;=Assumptions!$C$15,"Y","Z"))</f>
        <v>X</v>
      </c>
      <c r="M22" s="18" t="str">
        <f aca="false">H22&amp;L22</f>
        <v>BX</v>
      </c>
    </row>
    <row r="23" customFormat="false" ht="15" hidden="false" customHeight="true" outlineLevel="0" collapsed="false">
      <c r="A23" s="18" t="s">
        <v>206</v>
      </c>
      <c r="B23" s="31" t="str">
        <f aca="false">INDEX(Raw_SKU_Master!$B$2:$B$41,MATCH(A23,Raw_SKU_Master!$A$2:$A$41,0))</f>
        <v>Sensors Item 02 - Sensors &amp; Controls</v>
      </c>
      <c r="C23" s="31" t="str">
        <f aca="false">INDEX(Raw_SKU_Master!$C$2:$C$41,MATCH(A23,Raw_SKU_Master!$A$2:$A$41,0))</f>
        <v>Sensors &amp; Controls</v>
      </c>
      <c r="D23" s="19" t="n">
        <f aca="false">SUMIF(Raw_Sales_Weekly!$A$2:$A$1806,A23,Raw_Sales_Weekly!$D$2:$D$1806)</f>
        <v>57744.77</v>
      </c>
      <c r="E23" s="18" t="n">
        <f aca="false">SUMIF(Raw_Sales_Weekly!$A$2:$A$1806,A23,Raw_Sales_Weekly!$C$2:$C$1806)</f>
        <v>5028</v>
      </c>
      <c r="F23" s="19" t="n">
        <f aca="false">SUM($D$6:D23)</f>
        <v>2690124.24</v>
      </c>
      <c r="G23" s="32" t="n">
        <f aca="false">F23/SUM($D$6:$D$45)</f>
        <v>0.85046063989908</v>
      </c>
      <c r="H23" s="18" t="str">
        <f aca="false">IF(G23&lt;=Assumptions!$C$12,"A",IF(G23&lt;=Assumptions!$C$13,"B","C"))</f>
        <v>B</v>
      </c>
      <c r="I23" s="33" t="n">
        <f aca="false">AVERAGEIF(Raw_Sales_Weekly!$A$2:$A$1806,A23,Raw_Sales_Weekly!$C$2:$C$1806)</f>
        <v>96.6923076923077</v>
      </c>
      <c r="J23" s="33" t="n">
        <f aca="false">SQRT(SUMPRODUCT((Raw_Sales_Weekly!$A$2:$A$1806=A23)*(Raw_Sales_Weekly!$C$2:$C$1806-I23)^2)/COUNTIF(Raw_Sales_Weekly!$A$2:$A$1806,A23))</f>
        <v>29.5475747160005</v>
      </c>
      <c r="K23" s="34" t="n">
        <f aca="false">IFERROR(J23/I23,0)</f>
        <v>0.3055835093938</v>
      </c>
      <c r="L23" s="18" t="str">
        <f aca="false">IF(K23&lt;=Assumptions!$C$14,"X",IF(K23&lt;=Assumptions!$C$15,"Y","Z"))</f>
        <v>Y</v>
      </c>
      <c r="M23" s="18" t="str">
        <f aca="false">H23&amp;L23</f>
        <v>BY</v>
      </c>
    </row>
    <row r="24" customFormat="false" ht="15" hidden="false" customHeight="true" outlineLevel="0" collapsed="false">
      <c r="A24" s="18" t="s">
        <v>160</v>
      </c>
      <c r="B24" s="31" t="str">
        <f aca="false">INDEX(Raw_SKU_Master!$B$2:$B$41,MATCH(A24,Raw_SKU_Master!$A$2:$A$41,0))</f>
        <v>Fasteners Item 02 - Fasteners &amp; Hardware</v>
      </c>
      <c r="C24" s="31" t="str">
        <f aca="false">INDEX(Raw_SKU_Master!$C$2:$C$41,MATCH(A24,Raw_SKU_Master!$A$2:$A$41,0))</f>
        <v>Fasteners &amp; Hardware</v>
      </c>
      <c r="D24" s="19" t="n">
        <f aca="false">SUMIF(Raw_Sales_Weekly!$A$2:$A$1806,A24,Raw_Sales_Weekly!$D$2:$D$1806)</f>
        <v>55001.89</v>
      </c>
      <c r="E24" s="18" t="n">
        <f aca="false">SUMIF(Raw_Sales_Weekly!$A$2:$A$1806,A24,Raw_Sales_Weekly!$C$2:$C$1806)</f>
        <v>8364</v>
      </c>
      <c r="F24" s="19" t="n">
        <f aca="false">SUM($D$6:D24)</f>
        <v>2745126.13</v>
      </c>
      <c r="G24" s="32" t="n">
        <f aca="false">F24/SUM($D$6:$D$45)</f>
        <v>0.867849034780448</v>
      </c>
      <c r="H24" s="18" t="str">
        <f aca="false">IF(G24&lt;=Assumptions!$C$12,"A",IF(G24&lt;=Assumptions!$C$13,"B","C"))</f>
        <v>B</v>
      </c>
      <c r="I24" s="33" t="n">
        <f aca="false">AVERAGEIF(Raw_Sales_Weekly!$A$2:$A$1806,A24,Raw_Sales_Weekly!$C$2:$C$1806)</f>
        <v>160.846153846154</v>
      </c>
      <c r="J24" s="33" t="n">
        <f aca="false">SQRT(SUMPRODUCT((Raw_Sales_Weekly!$A$2:$A$1806=A24)*(Raw_Sales_Weekly!$C$2:$C$1806-I24)^2)/COUNTIF(Raw_Sales_Weekly!$A$2:$A$1806,A24))</f>
        <v>30.5093835599328</v>
      </c>
      <c r="K24" s="34" t="n">
        <f aca="false">IFERROR(J24/I24,0)</f>
        <v>0.189680529067014</v>
      </c>
      <c r="L24" s="18" t="str">
        <f aca="false">IF(K24&lt;=Assumptions!$C$14,"X",IF(K24&lt;=Assumptions!$C$15,"Y","Z"))</f>
        <v>X</v>
      </c>
      <c r="M24" s="18" t="str">
        <f aca="false">H24&amp;L24</f>
        <v>BX</v>
      </c>
    </row>
    <row r="25" customFormat="false" ht="15" hidden="false" customHeight="true" outlineLevel="0" collapsed="false">
      <c r="A25" s="18" t="s">
        <v>208</v>
      </c>
      <c r="B25" s="31" t="str">
        <f aca="false">INDEX(Raw_SKU_Master!$B$2:$B$41,MATCH(A25,Raw_SKU_Master!$A$2:$A$41,0))</f>
        <v>Sensors Item 03 - Sensors &amp; Controls</v>
      </c>
      <c r="C25" s="31" t="str">
        <f aca="false">INDEX(Raw_SKU_Master!$C$2:$C$41,MATCH(A25,Raw_SKU_Master!$A$2:$A$41,0))</f>
        <v>Sensors &amp; Controls</v>
      </c>
      <c r="D25" s="19" t="n">
        <f aca="false">SUMIF(Raw_Sales_Weekly!$A$2:$A$1806,A25,Raw_Sales_Weekly!$D$2:$D$1806)</f>
        <v>52418.29</v>
      </c>
      <c r="E25" s="18" t="n">
        <f aca="false">SUMIF(Raw_Sales_Weekly!$A$2:$A$1806,A25,Raw_Sales_Weekly!$C$2:$C$1806)</f>
        <v>3125</v>
      </c>
      <c r="F25" s="19" t="n">
        <f aca="false">SUM($D$6:D25)</f>
        <v>2797544.42</v>
      </c>
      <c r="G25" s="32" t="n">
        <f aca="false">F25/SUM($D$6:$D$45)</f>
        <v>0.884420645783743</v>
      </c>
      <c r="H25" s="18" t="str">
        <f aca="false">IF(G25&lt;=Assumptions!$C$12,"A",IF(G25&lt;=Assumptions!$C$13,"B","C"))</f>
        <v>B</v>
      </c>
      <c r="I25" s="33" t="n">
        <f aca="false">AVERAGEIF(Raw_Sales_Weekly!$A$2:$A$1806,A25,Raw_Sales_Weekly!$C$2:$C$1806)</f>
        <v>183.823529411765</v>
      </c>
      <c r="J25" s="33" t="n">
        <f aca="false">SQRT(SUMPRODUCT((Raw_Sales_Weekly!$A$2:$A$1806=A25)*(Raw_Sales_Weekly!$C$2:$C$1806-I25)^2)/COUNTIF(Raw_Sales_Weekly!$A$2:$A$1806,A25))</f>
        <v>65.5036912243413</v>
      </c>
      <c r="K25" s="34" t="n">
        <f aca="false">IFERROR(J25/I25,0)</f>
        <v>0.356340080260416</v>
      </c>
      <c r="L25" s="18" t="str">
        <f aca="false">IF(K25&lt;=Assumptions!$C$14,"X",IF(K25&lt;=Assumptions!$C$15,"Y","Z"))</f>
        <v>Y</v>
      </c>
      <c r="M25" s="18" t="str">
        <f aca="false">H25&amp;L25</f>
        <v>BY</v>
      </c>
    </row>
    <row r="26" customFormat="false" ht="15" hidden="false" customHeight="true" outlineLevel="0" collapsed="false">
      <c r="A26" s="18" t="s">
        <v>154</v>
      </c>
      <c r="B26" s="31" t="str">
        <f aca="false">INDEX(Raw_SKU_Master!$B$2:$B$41,MATCH(A26,Raw_SKU_Master!$A$2:$A$41,0))</f>
        <v>Fasteners Item 01 - Fasteners &amp; Hardware</v>
      </c>
      <c r="C26" s="31" t="str">
        <f aca="false">INDEX(Raw_SKU_Master!$C$2:$C$41,MATCH(A26,Raw_SKU_Master!$A$2:$A$41,0))</f>
        <v>Fasteners &amp; Hardware</v>
      </c>
      <c r="D26" s="19" t="n">
        <f aca="false">SUMIF(Raw_Sales_Weekly!$A$2:$A$1806,A26,Raw_Sales_Weekly!$D$2:$D$1806)</f>
        <v>48623.91</v>
      </c>
      <c r="E26" s="18" t="n">
        <f aca="false">SUMIF(Raw_Sales_Weekly!$A$2:$A$1806,A26,Raw_Sales_Weekly!$C$2:$C$1806)</f>
        <v>6999</v>
      </c>
      <c r="F26" s="19" t="n">
        <f aca="false">SUM($D$6:D26)</f>
        <v>2846168.33</v>
      </c>
      <c r="G26" s="32" t="n">
        <f aca="false">F26/SUM($D$6:$D$45)</f>
        <v>0.89979269477617</v>
      </c>
      <c r="H26" s="18" t="str">
        <f aca="false">IF(G26&lt;=Assumptions!$C$12,"A",IF(G26&lt;=Assumptions!$C$13,"B","C"))</f>
        <v>B</v>
      </c>
      <c r="I26" s="33" t="n">
        <f aca="false">AVERAGEIF(Raw_Sales_Weekly!$A$2:$A$1806,A26,Raw_Sales_Weekly!$C$2:$C$1806)</f>
        <v>134.596153846154</v>
      </c>
      <c r="J26" s="33" t="n">
        <f aca="false">SQRT(SUMPRODUCT((Raw_Sales_Weekly!$A$2:$A$1806=A26)*(Raw_Sales_Weekly!$C$2:$C$1806-I26)^2)/COUNTIF(Raw_Sales_Weekly!$A$2:$A$1806,A26))</f>
        <v>34.9973952961473</v>
      </c>
      <c r="K26" s="34" t="n">
        <f aca="false">IFERROR(J26/I26,0)</f>
        <v>0.260017796170833</v>
      </c>
      <c r="L26" s="18" t="str">
        <f aca="false">IF(K26&lt;=Assumptions!$C$14,"X",IF(K26&lt;=Assumptions!$C$15,"Y","Z"))</f>
        <v>X</v>
      </c>
      <c r="M26" s="18" t="str">
        <f aca="false">H26&amp;L26</f>
        <v>BX</v>
      </c>
    </row>
    <row r="27" customFormat="false" ht="15" hidden="false" customHeight="true" outlineLevel="0" collapsed="false">
      <c r="A27" s="18" t="s">
        <v>239</v>
      </c>
      <c r="B27" s="31" t="str">
        <f aca="false">INDEX(Raw_SKU_Master!$B$2:$B$41,MATCH(A27,Raw_SKU_Master!$A$2:$A$41,0))</f>
        <v>Pneumatic Components Item 05 - Pneumatic Components</v>
      </c>
      <c r="C27" s="31" t="str">
        <f aca="false">INDEX(Raw_SKU_Master!$C$2:$C$41,MATCH(A27,Raw_SKU_Master!$A$2:$A$41,0))</f>
        <v>Pneumatic Components</v>
      </c>
      <c r="D27" s="19" t="n">
        <f aca="false">SUMIF(Raw_Sales_Weekly!$A$2:$A$1806,A27,Raw_Sales_Weekly!$D$2:$D$1806)</f>
        <v>45504.31</v>
      </c>
      <c r="E27" s="18" t="n">
        <f aca="false">SUMIF(Raw_Sales_Weekly!$A$2:$A$1806,A27,Raw_Sales_Weekly!$C$2:$C$1806)</f>
        <v>3844</v>
      </c>
      <c r="F27" s="19" t="n">
        <f aca="false">SUM($D$6:D27)</f>
        <v>2891672.64</v>
      </c>
      <c r="G27" s="32" t="n">
        <f aca="false">F27/SUM($D$6:$D$45)</f>
        <v>0.914178507901576</v>
      </c>
      <c r="H27" s="18" t="str">
        <f aca="false">IF(G27&lt;=Assumptions!$C$12,"A",IF(G27&lt;=Assumptions!$C$13,"B","C"))</f>
        <v>B</v>
      </c>
      <c r="I27" s="33" t="n">
        <f aca="false">AVERAGEIF(Raw_Sales_Weekly!$A$2:$A$1806,A27,Raw_Sales_Weekly!$C$2:$C$1806)</f>
        <v>73.9230769230769</v>
      </c>
      <c r="J27" s="33" t="n">
        <f aca="false">SQRT(SUMPRODUCT((Raw_Sales_Weekly!$A$2:$A$1806=A27)*(Raw_Sales_Weekly!$C$2:$C$1806-I27)^2)/COUNTIF(Raw_Sales_Weekly!$A$2:$A$1806,A27))</f>
        <v>21.5235525322719</v>
      </c>
      <c r="K27" s="34" t="n">
        <f aca="false">IFERROR(J27/I27,0)</f>
        <v>0.291161480665489</v>
      </c>
      <c r="L27" s="18" t="str">
        <f aca="false">IF(K27&lt;=Assumptions!$C$14,"X",IF(K27&lt;=Assumptions!$C$15,"Y","Z"))</f>
        <v>X</v>
      </c>
      <c r="M27" s="18" t="str">
        <f aca="false">H27&amp;L27</f>
        <v>BX</v>
      </c>
    </row>
    <row r="28" customFormat="false" ht="15" hidden="false" customHeight="true" outlineLevel="0" collapsed="false">
      <c r="A28" s="18" t="s">
        <v>183</v>
      </c>
      <c r="B28" s="31" t="str">
        <f aca="false">INDEX(Raw_SKU_Master!$B$2:$B$41,MATCH(A28,Raw_SKU_Master!$A$2:$A$41,0))</f>
        <v>Bearings Item 04 - Bearings &amp; Bushings</v>
      </c>
      <c r="C28" s="31" t="str">
        <f aca="false">INDEX(Raw_SKU_Master!$C$2:$C$41,MATCH(A28,Raw_SKU_Master!$A$2:$A$41,0))</f>
        <v>Bearings &amp; Bushings</v>
      </c>
      <c r="D28" s="19" t="n">
        <f aca="false">SUMIF(Raw_Sales_Weekly!$A$2:$A$1806,A28,Raw_Sales_Weekly!$D$2:$D$1806)</f>
        <v>37896.04</v>
      </c>
      <c r="E28" s="18" t="n">
        <f aca="false">SUMIF(Raw_Sales_Weekly!$A$2:$A$1806,A28,Raw_Sales_Weekly!$C$2:$C$1806)</f>
        <v>4868</v>
      </c>
      <c r="F28" s="19" t="n">
        <f aca="false">SUM($D$6:D28)</f>
        <v>2929568.68</v>
      </c>
      <c r="G28" s="32" t="n">
        <f aca="false">F28/SUM($D$6:$D$45)</f>
        <v>0.926159029079305</v>
      </c>
      <c r="H28" s="18" t="str">
        <f aca="false">IF(G28&lt;=Assumptions!$C$12,"A",IF(G28&lt;=Assumptions!$C$13,"B","C"))</f>
        <v>B</v>
      </c>
      <c r="I28" s="33" t="n">
        <f aca="false">AVERAGEIF(Raw_Sales_Weekly!$A$2:$A$1806,A28,Raw_Sales_Weekly!$C$2:$C$1806)</f>
        <v>93.6153846153846</v>
      </c>
      <c r="J28" s="33" t="n">
        <f aca="false">SQRT(SUMPRODUCT((Raw_Sales_Weekly!$A$2:$A$1806=A28)*(Raw_Sales_Weekly!$C$2:$C$1806-I28)^2)/COUNTIF(Raw_Sales_Weekly!$A$2:$A$1806,A28))</f>
        <v>33.6321468505231</v>
      </c>
      <c r="K28" s="34" t="n">
        <f aca="false">IFERROR(J28/I28,0)</f>
        <v>0.359258758469022</v>
      </c>
      <c r="L28" s="18" t="str">
        <f aca="false">IF(K28&lt;=Assumptions!$C$14,"X",IF(K28&lt;=Assumptions!$C$15,"Y","Z"))</f>
        <v>Y</v>
      </c>
      <c r="M28" s="18" t="str">
        <f aca="false">H28&amp;L28</f>
        <v>BY</v>
      </c>
    </row>
    <row r="29" customFormat="false" ht="15" hidden="false" customHeight="true" outlineLevel="0" collapsed="false">
      <c r="A29" s="18" t="s">
        <v>164</v>
      </c>
      <c r="B29" s="31" t="str">
        <f aca="false">INDEX(Raw_SKU_Master!$B$2:$B$41,MATCH(A29,Raw_SKU_Master!$A$2:$A$41,0))</f>
        <v>Fasteners Item 03 - Fasteners &amp; Hardware</v>
      </c>
      <c r="C29" s="31" t="str">
        <f aca="false">INDEX(Raw_SKU_Master!$C$2:$C$41,MATCH(A29,Raw_SKU_Master!$A$2:$A$41,0))</f>
        <v>Fasteners &amp; Hardware</v>
      </c>
      <c r="D29" s="19" t="n">
        <f aca="false">SUMIF(Raw_Sales_Weekly!$A$2:$A$1806,A29,Raw_Sales_Weekly!$D$2:$D$1806)</f>
        <v>32012.53</v>
      </c>
      <c r="E29" s="18" t="n">
        <f aca="false">SUMIF(Raw_Sales_Weekly!$A$2:$A$1806,A29,Raw_Sales_Weekly!$C$2:$C$1806)</f>
        <v>6495</v>
      </c>
      <c r="F29" s="19" t="n">
        <f aca="false">SUM($D$6:D29)</f>
        <v>2961581.21</v>
      </c>
      <c r="G29" s="32" t="n">
        <f aca="false">F29/SUM($D$6:$D$45)</f>
        <v>0.936279526989315</v>
      </c>
      <c r="H29" s="18" t="str">
        <f aca="false">IF(G29&lt;=Assumptions!$C$12,"A",IF(G29&lt;=Assumptions!$C$13,"B","C"))</f>
        <v>B</v>
      </c>
      <c r="I29" s="33" t="n">
        <f aca="false">AVERAGEIF(Raw_Sales_Weekly!$A$2:$A$1806,A29,Raw_Sales_Weekly!$C$2:$C$1806)</f>
        <v>124.903846153846</v>
      </c>
      <c r="J29" s="33" t="n">
        <f aca="false">SQRT(SUMPRODUCT((Raw_Sales_Weekly!$A$2:$A$1806=A29)*(Raw_Sales_Weekly!$C$2:$C$1806-I29)^2)/COUNTIF(Raw_Sales_Weekly!$A$2:$A$1806,A29))</f>
        <v>43.5639492873958</v>
      </c>
      <c r="K29" s="34" t="n">
        <f aca="false">IFERROR(J29/I29,0)</f>
        <v>0.348779886519566</v>
      </c>
      <c r="L29" s="18" t="str">
        <f aca="false">IF(K29&lt;=Assumptions!$C$14,"X",IF(K29&lt;=Assumptions!$C$15,"Y","Z"))</f>
        <v>Y</v>
      </c>
      <c r="M29" s="18" t="str">
        <f aca="false">H29&amp;L29</f>
        <v>BY</v>
      </c>
    </row>
    <row r="30" customFormat="false" ht="15" hidden="false" customHeight="true" outlineLevel="0" collapsed="false">
      <c r="A30" s="18" t="s">
        <v>181</v>
      </c>
      <c r="B30" s="31" t="str">
        <f aca="false">INDEX(Raw_SKU_Master!$B$2:$B$41,MATCH(A30,Raw_SKU_Master!$A$2:$A$41,0))</f>
        <v>Bearings Item 03 - Bearings &amp; Bushings</v>
      </c>
      <c r="C30" s="31" t="str">
        <f aca="false">INDEX(Raw_SKU_Master!$C$2:$C$41,MATCH(A30,Raw_SKU_Master!$A$2:$A$41,0))</f>
        <v>Bearings &amp; Bushings</v>
      </c>
      <c r="D30" s="19" t="n">
        <f aca="false">SUMIF(Raw_Sales_Weekly!$A$2:$A$1806,A30,Raw_Sales_Weekly!$D$2:$D$1806)</f>
        <v>23524.32</v>
      </c>
      <c r="E30" s="18" t="n">
        <f aca="false">SUMIF(Raw_Sales_Weekly!$A$2:$A$1806,A30,Raw_Sales_Weekly!$C$2:$C$1806)</f>
        <v>4731</v>
      </c>
      <c r="F30" s="19" t="n">
        <f aca="false">SUM($D$6:D30)</f>
        <v>2985105.53</v>
      </c>
      <c r="G30" s="32" t="n">
        <f aca="false">F30/SUM($D$6:$D$45)</f>
        <v>0.943716547162179</v>
      </c>
      <c r="H30" s="18" t="str">
        <f aca="false">IF(G30&lt;=Assumptions!$C$12,"A",IF(G30&lt;=Assumptions!$C$13,"B","C"))</f>
        <v>B</v>
      </c>
      <c r="I30" s="33" t="n">
        <f aca="false">AVERAGEIF(Raw_Sales_Weekly!$A$2:$A$1806,A30,Raw_Sales_Weekly!$C$2:$C$1806)</f>
        <v>90.9807692307692</v>
      </c>
      <c r="J30" s="33" t="n">
        <f aca="false">SQRT(SUMPRODUCT((Raw_Sales_Weekly!$A$2:$A$1806=A30)*(Raw_Sales_Weekly!$C$2:$C$1806-I30)^2)/COUNTIF(Raw_Sales_Weekly!$A$2:$A$1806,A30))</f>
        <v>16.1834321554904</v>
      </c>
      <c r="K30" s="34" t="n">
        <f aca="false">IFERROR(J30/I30,0)</f>
        <v>0.177877504139823</v>
      </c>
      <c r="L30" s="18" t="str">
        <f aca="false">IF(K30&lt;=Assumptions!$C$14,"X",IF(K30&lt;=Assumptions!$C$15,"Y","Z"))</f>
        <v>X</v>
      </c>
      <c r="M30" s="18" t="str">
        <f aca="false">H30&amp;L30</f>
        <v>BX</v>
      </c>
    </row>
    <row r="31" customFormat="false" ht="15" hidden="false" customHeight="true" outlineLevel="0" collapsed="false">
      <c r="A31" s="18" t="s">
        <v>215</v>
      </c>
      <c r="B31" s="31" t="str">
        <f aca="false">INDEX(Raw_SKU_Master!$B$2:$B$41,MATCH(A31,Raw_SKU_Master!$A$2:$A$41,0))</f>
        <v>Seals Item 01 - Seals &amp; Gaskets</v>
      </c>
      <c r="C31" s="31" t="str">
        <f aca="false">INDEX(Raw_SKU_Master!$C$2:$C$41,MATCH(A31,Raw_SKU_Master!$A$2:$A$41,0))</f>
        <v>Seals &amp; Gaskets</v>
      </c>
      <c r="D31" s="19" t="n">
        <f aca="false">SUMIF(Raw_Sales_Weekly!$A$2:$A$1806,A31,Raw_Sales_Weekly!$D$2:$D$1806)</f>
        <v>21836.98</v>
      </c>
      <c r="E31" s="18" t="n">
        <f aca="false">SUMIF(Raw_Sales_Weekly!$A$2:$A$1806,A31,Raw_Sales_Weekly!$C$2:$C$1806)</f>
        <v>4800</v>
      </c>
      <c r="F31" s="19" t="n">
        <f aca="false">SUM($D$6:D31)</f>
        <v>3006942.51</v>
      </c>
      <c r="G31" s="32" t="n">
        <f aca="false">F31/SUM($D$6:$D$45)</f>
        <v>0.950620128680133</v>
      </c>
      <c r="H31" s="18" t="str">
        <f aca="false">IF(G31&lt;=Assumptions!$C$12,"A",IF(G31&lt;=Assumptions!$C$13,"B","C"))</f>
        <v>C</v>
      </c>
      <c r="I31" s="33" t="n">
        <f aca="false">AVERAGEIF(Raw_Sales_Weekly!$A$2:$A$1806,A31,Raw_Sales_Weekly!$C$2:$C$1806)</f>
        <v>92.3076923076923</v>
      </c>
      <c r="J31" s="33" t="n">
        <f aca="false">SQRT(SUMPRODUCT((Raw_Sales_Weekly!$A$2:$A$1806=A31)*(Raw_Sales_Weekly!$C$2:$C$1806-I31)^2)/COUNTIF(Raw_Sales_Weekly!$A$2:$A$1806,A31))</f>
        <v>29.2269228238533</v>
      </c>
      <c r="K31" s="34" t="n">
        <f aca="false">IFERROR(J31/I31,0)</f>
        <v>0.316624997258411</v>
      </c>
      <c r="L31" s="18" t="str">
        <f aca="false">IF(K31&lt;=Assumptions!$C$14,"X",IF(K31&lt;=Assumptions!$C$15,"Y","Z"))</f>
        <v>Y</v>
      </c>
      <c r="M31" s="18" t="str">
        <f aca="false">H31&amp;L31</f>
        <v>CY</v>
      </c>
    </row>
    <row r="32" customFormat="false" ht="15" hidden="false" customHeight="true" outlineLevel="0" collapsed="false">
      <c r="A32" s="18" t="s">
        <v>173</v>
      </c>
      <c r="B32" s="31" t="str">
        <f aca="false">INDEX(Raw_SKU_Master!$B$2:$B$41,MATCH(A32,Raw_SKU_Master!$A$2:$A$41,0))</f>
        <v>Bearings Item 01 - Bearings &amp; Bushings</v>
      </c>
      <c r="C32" s="31" t="str">
        <f aca="false">INDEX(Raw_SKU_Master!$C$2:$C$41,MATCH(A32,Raw_SKU_Master!$A$2:$A$41,0))</f>
        <v>Bearings &amp; Bushings</v>
      </c>
      <c r="D32" s="19" t="n">
        <f aca="false">SUMIF(Raw_Sales_Weekly!$A$2:$A$1806,A32,Raw_Sales_Weekly!$D$2:$D$1806)</f>
        <v>18164.18</v>
      </c>
      <c r="E32" s="18" t="n">
        <f aca="false">SUMIF(Raw_Sales_Weekly!$A$2:$A$1806,A32,Raw_Sales_Weekly!$C$2:$C$1806)</f>
        <v>3716</v>
      </c>
      <c r="F32" s="19" t="n">
        <f aca="false">SUM($D$6:D32)</f>
        <v>3025106.69</v>
      </c>
      <c r="G32" s="32" t="n">
        <f aca="false">F32/SUM($D$6:$D$45)</f>
        <v>0.956362584703667</v>
      </c>
      <c r="H32" s="18" t="str">
        <f aca="false">IF(G32&lt;=Assumptions!$C$12,"A",IF(G32&lt;=Assumptions!$C$13,"B","C"))</f>
        <v>C</v>
      </c>
      <c r="I32" s="33" t="n">
        <f aca="false">AVERAGEIF(Raw_Sales_Weekly!$A$2:$A$1806,A32,Raw_Sales_Weekly!$C$2:$C$1806)</f>
        <v>71.4615384615385</v>
      </c>
      <c r="J32" s="33" t="n">
        <f aca="false">SQRT(SUMPRODUCT((Raw_Sales_Weekly!$A$2:$A$1806=A32)*(Raw_Sales_Weekly!$C$2:$C$1806-I32)^2)/COUNTIF(Raw_Sales_Weekly!$A$2:$A$1806,A32))</f>
        <v>20.0954085250084</v>
      </c>
      <c r="K32" s="34" t="n">
        <f aca="false">IFERROR(J32/I32,0)</f>
        <v>0.281205931996889</v>
      </c>
      <c r="L32" s="18" t="str">
        <f aca="false">IF(K32&lt;=Assumptions!$C$14,"X",IF(K32&lt;=Assumptions!$C$15,"Y","Z"))</f>
        <v>X</v>
      </c>
      <c r="M32" s="18" t="str">
        <f aca="false">H32&amp;L32</f>
        <v>CX</v>
      </c>
    </row>
    <row r="33" customFormat="false" ht="15" hidden="false" customHeight="true" outlineLevel="0" collapsed="false">
      <c r="A33" s="18" t="s">
        <v>254</v>
      </c>
      <c r="B33" s="31" t="str">
        <f aca="false">INDEX(Raw_SKU_Master!$B$2:$B$41,MATCH(A33,Raw_SKU_Master!$A$2:$A$41,0))</f>
        <v>Packaging Materials Item 01 - Packaging Materials</v>
      </c>
      <c r="C33" s="31" t="str">
        <f aca="false">INDEX(Raw_SKU_Master!$C$2:$C$41,MATCH(A33,Raw_SKU_Master!$A$2:$A$41,0))</f>
        <v>Packaging Materials</v>
      </c>
      <c r="D33" s="19" t="n">
        <f aca="false">SUMIF(Raw_Sales_Weekly!$A$2:$A$1806,A33,Raw_Sales_Weekly!$D$2:$D$1806)</f>
        <v>17398.53</v>
      </c>
      <c r="E33" s="18" t="n">
        <f aca="false">SUMIF(Raw_Sales_Weekly!$A$2:$A$1806,A33,Raw_Sales_Weekly!$C$2:$C$1806)</f>
        <v>9088</v>
      </c>
      <c r="F33" s="19" t="n">
        <f aca="false">SUM($D$6:D33)</f>
        <v>3042505.22</v>
      </c>
      <c r="G33" s="32" t="n">
        <f aca="false">F33/SUM($D$6:$D$45)</f>
        <v>0.961862986780674</v>
      </c>
      <c r="H33" s="18" t="str">
        <f aca="false">IF(G33&lt;=Assumptions!$C$12,"A",IF(G33&lt;=Assumptions!$C$13,"B","C"))</f>
        <v>C</v>
      </c>
      <c r="I33" s="33" t="n">
        <f aca="false">AVERAGEIF(Raw_Sales_Weekly!$A$2:$A$1806,A33,Raw_Sales_Weekly!$C$2:$C$1806)</f>
        <v>174.769230769231</v>
      </c>
      <c r="J33" s="33" t="n">
        <f aca="false">SQRT(SUMPRODUCT((Raw_Sales_Weekly!$A$2:$A$1806=A33)*(Raw_Sales_Weekly!$C$2:$C$1806-I33)^2)/COUNTIF(Raw_Sales_Weekly!$A$2:$A$1806,A33))</f>
        <v>27.2824368586596</v>
      </c>
      <c r="K33" s="34" t="n">
        <f aca="false">IFERROR(J33/I33,0)</f>
        <v>0.156105492589161</v>
      </c>
      <c r="L33" s="18" t="str">
        <f aca="false">IF(K33&lt;=Assumptions!$C$14,"X",IF(K33&lt;=Assumptions!$C$15,"Y","Z"))</f>
        <v>X</v>
      </c>
      <c r="M33" s="18" t="str">
        <f aca="false">H33&amp;L33</f>
        <v>CX</v>
      </c>
    </row>
    <row r="34" customFormat="false" ht="15" hidden="false" customHeight="true" outlineLevel="0" collapsed="false">
      <c r="A34" s="18" t="s">
        <v>236</v>
      </c>
      <c r="B34" s="31" t="str">
        <f aca="false">INDEX(Raw_SKU_Master!$B$2:$B$41,MATCH(A34,Raw_SKU_Master!$A$2:$A$41,0))</f>
        <v>Pneumatic Components Item 04 - Pneumatic Components</v>
      </c>
      <c r="C34" s="31" t="str">
        <f aca="false">INDEX(Raw_SKU_Master!$C$2:$C$41,MATCH(A34,Raw_SKU_Master!$A$2:$A$41,0))</f>
        <v>Pneumatic Components</v>
      </c>
      <c r="D34" s="19" t="n">
        <f aca="false">SUMIF(Raw_Sales_Weekly!$A$2:$A$1806,A34,Raw_Sales_Weekly!$D$2:$D$1806)</f>
        <v>15223.39</v>
      </c>
      <c r="E34" s="18" t="n">
        <f aca="false">SUMIF(Raw_Sales_Weekly!$A$2:$A$1806,A34,Raw_Sales_Weekly!$C$2:$C$1806)</f>
        <v>1251</v>
      </c>
      <c r="F34" s="19" t="n">
        <f aca="false">SUM($D$6:D34)</f>
        <v>3057728.61</v>
      </c>
      <c r="G34" s="32" t="n">
        <f aca="false">F34/SUM($D$6:$D$45)</f>
        <v>0.966675736247157</v>
      </c>
      <c r="H34" s="18" t="str">
        <f aca="false">IF(G34&lt;=Assumptions!$C$12,"A",IF(G34&lt;=Assumptions!$C$13,"B","C"))</f>
        <v>C</v>
      </c>
      <c r="I34" s="33" t="n">
        <f aca="false">AVERAGEIF(Raw_Sales_Weekly!$A$2:$A$1806,A34,Raw_Sales_Weekly!$C$2:$C$1806)</f>
        <v>62.55</v>
      </c>
      <c r="J34" s="33" t="n">
        <f aca="false">SQRT(SUMPRODUCT((Raw_Sales_Weekly!$A$2:$A$1806=A34)*(Raw_Sales_Weekly!$C$2:$C$1806-I34)^2)/COUNTIF(Raw_Sales_Weekly!$A$2:$A$1806,A34))</f>
        <v>44.761004233596</v>
      </c>
      <c r="K34" s="34" t="n">
        <f aca="false">IFERROR(J34/I34,0)</f>
        <v>0.715603584869641</v>
      </c>
      <c r="L34" s="18" t="str">
        <f aca="false">IF(K34&lt;=Assumptions!$C$14,"X",IF(K34&lt;=Assumptions!$C$15,"Y","Z"))</f>
        <v>Z</v>
      </c>
      <c r="M34" s="18" t="str">
        <f aca="false">H34&amp;L34</f>
        <v>CZ</v>
      </c>
    </row>
    <row r="35" customFormat="false" ht="15" hidden="false" customHeight="true" outlineLevel="0" collapsed="false">
      <c r="A35" s="18" t="s">
        <v>258</v>
      </c>
      <c r="B35" s="31" t="str">
        <f aca="false">INDEX(Raw_SKU_Master!$B$2:$B$41,MATCH(A35,Raw_SKU_Master!$A$2:$A$41,0))</f>
        <v>Packaging Materials Item 02 - Packaging Materials</v>
      </c>
      <c r="C35" s="31" t="str">
        <f aca="false">INDEX(Raw_SKU_Master!$C$2:$C$41,MATCH(A35,Raw_SKU_Master!$A$2:$A$41,0))</f>
        <v>Packaging Materials</v>
      </c>
      <c r="D35" s="19" t="n">
        <f aca="false">SUMIF(Raw_Sales_Weekly!$A$2:$A$1806,A35,Raw_Sales_Weekly!$D$2:$D$1806)</f>
        <v>13463.09</v>
      </c>
      <c r="E35" s="18" t="n">
        <f aca="false">SUMIF(Raw_Sales_Weekly!$A$2:$A$1806,A35,Raw_Sales_Weekly!$C$2:$C$1806)</f>
        <v>4581</v>
      </c>
      <c r="F35" s="19" t="n">
        <f aca="false">SUM($D$6:D35)</f>
        <v>3071191.7</v>
      </c>
      <c r="G35" s="32" t="n">
        <f aca="false">F35/SUM($D$6:$D$45)</f>
        <v>0.97093198135516</v>
      </c>
      <c r="H35" s="18" t="str">
        <f aca="false">IF(G35&lt;=Assumptions!$C$12,"A",IF(G35&lt;=Assumptions!$C$13,"B","C"))</f>
        <v>C</v>
      </c>
      <c r="I35" s="33" t="n">
        <f aca="false">AVERAGEIF(Raw_Sales_Weekly!$A$2:$A$1806,A35,Raw_Sales_Weekly!$C$2:$C$1806)</f>
        <v>88.0961538461538</v>
      </c>
      <c r="J35" s="33" t="n">
        <f aca="false">SQRT(SUMPRODUCT((Raw_Sales_Weekly!$A$2:$A$1806=A35)*(Raw_Sales_Weekly!$C$2:$C$1806-I35)^2)/COUNTIF(Raw_Sales_Weekly!$A$2:$A$1806,A35))</f>
        <v>23.7788364334796</v>
      </c>
      <c r="K35" s="34" t="n">
        <f aca="false">IFERROR(J35/I35,0)</f>
        <v>0.26991912127067</v>
      </c>
      <c r="L35" s="18" t="str">
        <f aca="false">IF(K35&lt;=Assumptions!$C$14,"X",IF(K35&lt;=Assumptions!$C$15,"Y","Z"))</f>
        <v>X</v>
      </c>
      <c r="M35" s="18" t="str">
        <f aca="false">H35&amp;L35</f>
        <v>CX</v>
      </c>
    </row>
    <row r="36" customFormat="false" ht="15" hidden="false" customHeight="true" outlineLevel="0" collapsed="false">
      <c r="A36" s="18" t="s">
        <v>264</v>
      </c>
      <c r="B36" s="31" t="str">
        <f aca="false">INDEX(Raw_SKU_Master!$B$2:$B$41,MATCH(A36,Raw_SKU_Master!$A$2:$A$41,0))</f>
        <v>Packaging Materials Item 05 - Packaging Materials</v>
      </c>
      <c r="C36" s="31" t="str">
        <f aca="false">INDEX(Raw_SKU_Master!$C$2:$C$41,MATCH(A36,Raw_SKU_Master!$A$2:$A$41,0))</f>
        <v>Packaging Materials</v>
      </c>
      <c r="D36" s="19" t="n">
        <f aca="false">SUMIF(Raw_Sales_Weekly!$A$2:$A$1806,A36,Raw_Sales_Weekly!$D$2:$D$1806)</f>
        <v>13359.72</v>
      </c>
      <c r="E36" s="18" t="n">
        <f aca="false">SUMIF(Raw_Sales_Weekly!$A$2:$A$1806,A36,Raw_Sales_Weekly!$C$2:$C$1806)</f>
        <v>5600</v>
      </c>
      <c r="F36" s="19" t="n">
        <f aca="false">SUM($D$6:D36)</f>
        <v>3084551.42</v>
      </c>
      <c r="G36" s="32" t="n">
        <f aca="false">F36/SUM($D$6:$D$45)</f>
        <v>0.975155546888353</v>
      </c>
      <c r="H36" s="18" t="str">
        <f aca="false">IF(G36&lt;=Assumptions!$C$12,"A",IF(G36&lt;=Assumptions!$C$13,"B","C"))</f>
        <v>C</v>
      </c>
      <c r="I36" s="33" t="n">
        <f aca="false">AVERAGEIF(Raw_Sales_Weekly!$A$2:$A$1806,A36,Raw_Sales_Weekly!$C$2:$C$1806)</f>
        <v>107.692307692308</v>
      </c>
      <c r="J36" s="33" t="n">
        <f aca="false">SQRT(SUMPRODUCT((Raw_Sales_Weekly!$A$2:$A$1806=A36)*(Raw_Sales_Weekly!$C$2:$C$1806-I36)^2)/COUNTIF(Raw_Sales_Weekly!$A$2:$A$1806,A36))</f>
        <v>14.533169570038</v>
      </c>
      <c r="K36" s="34" t="n">
        <f aca="false">IFERROR(J36/I36,0)</f>
        <v>0.13495086029321</v>
      </c>
      <c r="L36" s="18" t="str">
        <f aca="false">IF(K36&lt;=Assumptions!$C$14,"X",IF(K36&lt;=Assumptions!$C$15,"Y","Z"))</f>
        <v>X</v>
      </c>
      <c r="M36" s="18" t="str">
        <f aca="false">H36&amp;L36</f>
        <v>CX</v>
      </c>
    </row>
    <row r="37" customFormat="false" ht="15" hidden="false" customHeight="true" outlineLevel="0" collapsed="false">
      <c r="A37" s="18" t="s">
        <v>262</v>
      </c>
      <c r="B37" s="31" t="str">
        <f aca="false">INDEX(Raw_SKU_Master!$B$2:$B$41,MATCH(A37,Raw_SKU_Master!$A$2:$A$41,0))</f>
        <v>Packaging Materials Item 04 - Packaging Materials</v>
      </c>
      <c r="C37" s="31" t="str">
        <f aca="false">INDEX(Raw_SKU_Master!$C$2:$C$41,MATCH(A37,Raw_SKU_Master!$A$2:$A$41,0))</f>
        <v>Packaging Materials</v>
      </c>
      <c r="D37" s="19" t="n">
        <f aca="false">SUMIF(Raw_Sales_Weekly!$A$2:$A$1806,A37,Raw_Sales_Weekly!$D$2:$D$1806)</f>
        <v>12535.83</v>
      </c>
      <c r="E37" s="18" t="n">
        <f aca="false">SUMIF(Raw_Sales_Weekly!$A$2:$A$1806,A37,Raw_Sales_Weekly!$C$2:$C$1806)</f>
        <v>10943</v>
      </c>
      <c r="F37" s="19" t="n">
        <f aca="false">SUM($D$6:D37)</f>
        <v>3097087.25</v>
      </c>
      <c r="G37" s="32" t="n">
        <f aca="false">F37/SUM($D$6:$D$45)</f>
        <v>0.979118646378311</v>
      </c>
      <c r="H37" s="18" t="str">
        <f aca="false">IF(G37&lt;=Assumptions!$C$12,"A",IF(G37&lt;=Assumptions!$C$13,"B","C"))</f>
        <v>C</v>
      </c>
      <c r="I37" s="33" t="n">
        <f aca="false">AVERAGEIF(Raw_Sales_Weekly!$A$2:$A$1806,A37,Raw_Sales_Weekly!$C$2:$C$1806)</f>
        <v>210.442307692308</v>
      </c>
      <c r="J37" s="33" t="n">
        <f aca="false">SQRT(SUMPRODUCT((Raw_Sales_Weekly!$A$2:$A$1806=A37)*(Raw_Sales_Weekly!$C$2:$C$1806-I37)^2)/COUNTIF(Raw_Sales_Weekly!$A$2:$A$1806,A37))</f>
        <v>36.8376967570838</v>
      </c>
      <c r="K37" s="34" t="n">
        <f aca="false">IFERROR(J37/I37,0)</f>
        <v>0.175048910844225</v>
      </c>
      <c r="L37" s="18" t="str">
        <f aca="false">IF(K37&lt;=Assumptions!$C$14,"X",IF(K37&lt;=Assumptions!$C$15,"Y","Z"))</f>
        <v>X</v>
      </c>
      <c r="M37" s="18" t="str">
        <f aca="false">H37&amp;L37</f>
        <v>CX</v>
      </c>
    </row>
    <row r="38" customFormat="false" ht="15" hidden="false" customHeight="true" outlineLevel="0" collapsed="false">
      <c r="A38" s="18" t="s">
        <v>221</v>
      </c>
      <c r="B38" s="31" t="str">
        <f aca="false">INDEX(Raw_SKU_Master!$B$2:$B$41,MATCH(A38,Raw_SKU_Master!$A$2:$A$41,0))</f>
        <v>Seals Item 03 - Seals &amp; Gaskets</v>
      </c>
      <c r="C38" s="31" t="str">
        <f aca="false">INDEX(Raw_SKU_Master!$C$2:$C$41,MATCH(A38,Raw_SKU_Master!$A$2:$A$41,0))</f>
        <v>Seals &amp; Gaskets</v>
      </c>
      <c r="D38" s="19" t="n">
        <f aca="false">SUMIF(Raw_Sales_Weekly!$A$2:$A$1806,A38,Raw_Sales_Weekly!$D$2:$D$1806)</f>
        <v>12304.45</v>
      </c>
      <c r="E38" s="18" t="n">
        <f aca="false">SUMIF(Raw_Sales_Weekly!$A$2:$A$1806,A38,Raw_Sales_Weekly!$C$2:$C$1806)</f>
        <v>4866</v>
      </c>
      <c r="F38" s="19" t="n">
        <f aca="false">SUM($D$6:D38)</f>
        <v>3109391.7</v>
      </c>
      <c r="G38" s="32" t="n">
        <f aca="false">F38/SUM($D$6:$D$45)</f>
        <v>0.983008596985427</v>
      </c>
      <c r="H38" s="18" t="str">
        <f aca="false">IF(G38&lt;=Assumptions!$C$12,"A",IF(G38&lt;=Assumptions!$C$13,"B","C"))</f>
        <v>C</v>
      </c>
      <c r="I38" s="33" t="n">
        <f aca="false">AVERAGEIF(Raw_Sales_Weekly!$A$2:$A$1806,A38,Raw_Sales_Weekly!$C$2:$C$1806)</f>
        <v>93.5769230769231</v>
      </c>
      <c r="J38" s="33" t="n">
        <f aca="false">SQRT(SUMPRODUCT((Raw_Sales_Weekly!$A$2:$A$1806=A38)*(Raw_Sales_Weekly!$C$2:$C$1806-I38)^2)/COUNTIF(Raw_Sales_Weekly!$A$2:$A$1806,A38))</f>
        <v>21.0241126711561</v>
      </c>
      <c r="K38" s="34" t="n">
        <f aca="false">IFERROR(J38/I38,0)</f>
        <v>0.224671980867266</v>
      </c>
      <c r="L38" s="18" t="str">
        <f aca="false">IF(K38&lt;=Assumptions!$C$14,"X",IF(K38&lt;=Assumptions!$C$15,"Y","Z"))</f>
        <v>X</v>
      </c>
      <c r="M38" s="18" t="str">
        <f aca="false">H38&amp;L38</f>
        <v>CX</v>
      </c>
    </row>
    <row r="39" customFormat="false" ht="15" hidden="false" customHeight="true" outlineLevel="0" collapsed="false">
      <c r="A39" s="18" t="s">
        <v>178</v>
      </c>
      <c r="B39" s="31" t="str">
        <f aca="false">INDEX(Raw_SKU_Master!$B$2:$B$41,MATCH(A39,Raw_SKU_Master!$A$2:$A$41,0))</f>
        <v>Bearings Item 02 - Bearings &amp; Bushings</v>
      </c>
      <c r="C39" s="31" t="str">
        <f aca="false">INDEX(Raw_SKU_Master!$C$2:$C$41,MATCH(A39,Raw_SKU_Master!$A$2:$A$41,0))</f>
        <v>Bearings &amp; Bushings</v>
      </c>
      <c r="D39" s="19" t="n">
        <f aca="false">SUMIF(Raw_Sales_Weekly!$A$2:$A$1806,A39,Raw_Sales_Weekly!$D$2:$D$1806)</f>
        <v>10813.2</v>
      </c>
      <c r="E39" s="18" t="n">
        <f aca="false">SUMIF(Raw_Sales_Weekly!$A$2:$A$1806,A39,Raw_Sales_Weekly!$C$2:$C$1806)</f>
        <v>1606</v>
      </c>
      <c r="F39" s="19" t="n">
        <f aca="false">SUM($D$6:D39)</f>
        <v>3120204.9</v>
      </c>
      <c r="G39" s="32" t="n">
        <f aca="false">F39/SUM($D$6:$D$45)</f>
        <v>0.986427101177396</v>
      </c>
      <c r="H39" s="18" t="str">
        <f aca="false">IF(G39&lt;=Assumptions!$C$12,"A",IF(G39&lt;=Assumptions!$C$13,"B","C"))</f>
        <v>C</v>
      </c>
      <c r="I39" s="33" t="n">
        <f aca="false">AVERAGEIF(Raw_Sales_Weekly!$A$2:$A$1806,A39,Raw_Sales_Weekly!$C$2:$C$1806)</f>
        <v>160.6</v>
      </c>
      <c r="J39" s="33" t="n">
        <f aca="false">SQRT(SUMPRODUCT((Raw_Sales_Weekly!$A$2:$A$1806=A39)*(Raw_Sales_Weekly!$C$2:$C$1806-I39)^2)/COUNTIF(Raw_Sales_Weekly!$A$2:$A$1806,A39))</f>
        <v>47.1682096331841</v>
      </c>
      <c r="K39" s="34" t="n">
        <f aca="false">IFERROR(J39/I39,0)</f>
        <v>0.293699935449465</v>
      </c>
      <c r="L39" s="18" t="str">
        <f aca="false">IF(K39&lt;=Assumptions!$C$14,"X",IF(K39&lt;=Assumptions!$C$15,"Y","Z"))</f>
        <v>X</v>
      </c>
      <c r="M39" s="18" t="str">
        <f aca="false">H39&amp;L39</f>
        <v>CX</v>
      </c>
    </row>
    <row r="40" customFormat="false" ht="15" hidden="false" customHeight="true" outlineLevel="0" collapsed="false">
      <c r="A40" s="18" t="s">
        <v>167</v>
      </c>
      <c r="B40" s="31" t="str">
        <f aca="false">INDEX(Raw_SKU_Master!$B$2:$B$41,MATCH(A40,Raw_SKU_Master!$A$2:$A$41,0))</f>
        <v>Fasteners Item 04 - Fasteners &amp; Hardware</v>
      </c>
      <c r="C40" s="31" t="str">
        <f aca="false">INDEX(Raw_SKU_Master!$C$2:$C$41,MATCH(A40,Raw_SKU_Master!$A$2:$A$41,0))</f>
        <v>Fasteners &amp; Hardware</v>
      </c>
      <c r="D40" s="19" t="n">
        <f aca="false">SUMIF(Raw_Sales_Weekly!$A$2:$A$1806,A40,Raw_Sales_Weekly!$D$2:$D$1806)</f>
        <v>10216.36</v>
      </c>
      <c r="E40" s="18" t="n">
        <f aca="false">SUMIF(Raw_Sales_Weekly!$A$2:$A$1806,A40,Raw_Sales_Weekly!$C$2:$C$1806)</f>
        <v>1976</v>
      </c>
      <c r="F40" s="19" t="n">
        <f aca="false">SUM($D$6:D40)</f>
        <v>3130421.26</v>
      </c>
      <c r="G40" s="32" t="n">
        <f aca="false">F40/SUM($D$6:$D$45)</f>
        <v>0.989656919315104</v>
      </c>
      <c r="H40" s="18" t="str">
        <f aca="false">IF(G40&lt;=Assumptions!$C$12,"A",IF(G40&lt;=Assumptions!$C$13,"B","C"))</f>
        <v>C</v>
      </c>
      <c r="I40" s="33" t="n">
        <f aca="false">AVERAGEIF(Raw_Sales_Weekly!$A$2:$A$1806,A40,Raw_Sales_Weekly!$C$2:$C$1806)</f>
        <v>164.666666666667</v>
      </c>
      <c r="J40" s="33" t="n">
        <f aca="false">SQRT(SUMPRODUCT((Raw_Sales_Weekly!$A$2:$A$1806=A40)*(Raw_Sales_Weekly!$C$2:$C$1806-I40)^2)/COUNTIF(Raw_Sales_Weekly!$A$2:$A$1806,A40))</f>
        <v>116.863405544916</v>
      </c>
      <c r="K40" s="34" t="n">
        <f aca="false">IFERROR(J40/I40,0)</f>
        <v>0.709696794807184</v>
      </c>
      <c r="L40" s="18" t="str">
        <f aca="false">IF(K40&lt;=Assumptions!$C$14,"X",IF(K40&lt;=Assumptions!$C$15,"Y","Z"))</f>
        <v>Z</v>
      </c>
      <c r="M40" s="18" t="str">
        <f aca="false">H40&amp;L40</f>
        <v>CZ</v>
      </c>
    </row>
    <row r="41" customFormat="false" ht="15" hidden="false" customHeight="true" outlineLevel="0" collapsed="false">
      <c r="A41" s="18" t="s">
        <v>226</v>
      </c>
      <c r="B41" s="31" t="str">
        <f aca="false">INDEX(Raw_SKU_Master!$B$2:$B$41,MATCH(A41,Raw_SKU_Master!$A$2:$A$41,0))</f>
        <v>Seals Item 05 - Seals &amp; Gaskets</v>
      </c>
      <c r="C41" s="31" t="str">
        <f aca="false">INDEX(Raw_SKU_Master!$C$2:$C$41,MATCH(A41,Raw_SKU_Master!$A$2:$A$41,0))</f>
        <v>Seals &amp; Gaskets</v>
      </c>
      <c r="D41" s="19" t="n">
        <f aca="false">SUMIF(Raw_Sales_Weekly!$A$2:$A$1806,A41,Raw_Sales_Weekly!$D$2:$D$1806)</f>
        <v>9458.17</v>
      </c>
      <c r="E41" s="18" t="n">
        <f aca="false">SUMIF(Raw_Sales_Weekly!$A$2:$A$1806,A41,Raw_Sales_Weekly!$C$2:$C$1806)</f>
        <v>3818</v>
      </c>
      <c r="F41" s="19" t="n">
        <f aca="false">SUM($D$6:D41)</f>
        <v>3139879.43</v>
      </c>
      <c r="G41" s="32" t="n">
        <f aca="false">F41/SUM($D$6:$D$45)</f>
        <v>0.992647041923892</v>
      </c>
      <c r="H41" s="18" t="str">
        <f aca="false">IF(G41&lt;=Assumptions!$C$12,"A",IF(G41&lt;=Assumptions!$C$13,"B","C"))</f>
        <v>C</v>
      </c>
      <c r="I41" s="33" t="n">
        <f aca="false">AVERAGEIF(Raw_Sales_Weekly!$A$2:$A$1806,A41,Raw_Sales_Weekly!$C$2:$C$1806)</f>
        <v>73.4230769230769</v>
      </c>
      <c r="J41" s="33" t="n">
        <f aca="false">SQRT(SUMPRODUCT((Raw_Sales_Weekly!$A$2:$A$1806=A41)*(Raw_Sales_Weekly!$C$2:$C$1806-I41)^2)/COUNTIF(Raw_Sales_Weekly!$A$2:$A$1806,A41))</f>
        <v>23.7181739421046</v>
      </c>
      <c r="K41" s="34" t="n">
        <f aca="false">IFERROR(J41/I41,0)</f>
        <v>0.323034322941183</v>
      </c>
      <c r="L41" s="18" t="str">
        <f aca="false">IF(K41&lt;=Assumptions!$C$14,"X",IF(K41&lt;=Assumptions!$C$15,"Y","Z"))</f>
        <v>Y</v>
      </c>
      <c r="M41" s="18" t="str">
        <f aca="false">H41&amp;L41</f>
        <v>CY</v>
      </c>
    </row>
    <row r="42" customFormat="false" ht="15" hidden="false" customHeight="true" outlineLevel="0" collapsed="false">
      <c r="A42" s="18" t="s">
        <v>245</v>
      </c>
      <c r="B42" s="31" t="str">
        <f aca="false">INDEX(Raw_SKU_Master!$B$2:$B$41,MATCH(A42,Raw_SKU_Master!$A$2:$A$41,0))</f>
        <v>Raw Material Item 02 - Raw Material - Metal Stock</v>
      </c>
      <c r="C42" s="31" t="str">
        <f aca="false">INDEX(Raw_SKU_Master!$C$2:$C$41,MATCH(A42,Raw_SKU_Master!$A$2:$A$41,0))</f>
        <v>Raw Material - Metal Stock</v>
      </c>
      <c r="D42" s="19" t="n">
        <f aca="false">SUMIF(Raw_Sales_Weekly!$A$2:$A$1806,A42,Raw_Sales_Weekly!$D$2:$D$1806)</f>
        <v>7841.54</v>
      </c>
      <c r="E42" s="18" t="n">
        <f aca="false">SUMIF(Raw_Sales_Weekly!$A$2:$A$1806,A42,Raw_Sales_Weekly!$C$2:$C$1806)</f>
        <v>291</v>
      </c>
      <c r="F42" s="19" t="n">
        <f aca="false">SUM($D$6:D42)</f>
        <v>3147720.97</v>
      </c>
      <c r="G42" s="32" t="n">
        <f aca="false">F42/SUM($D$6:$D$45)</f>
        <v>0.995126080262357</v>
      </c>
      <c r="H42" s="18" t="str">
        <f aca="false">IF(G42&lt;=Assumptions!$C$12,"A",IF(G42&lt;=Assumptions!$C$13,"B","C"))</f>
        <v>C</v>
      </c>
      <c r="I42" s="33" t="n">
        <f aca="false">AVERAGEIF(Raw_Sales_Weekly!$A$2:$A$1806,A42,Raw_Sales_Weekly!$C$2:$C$1806)</f>
        <v>58.2</v>
      </c>
      <c r="J42" s="33" t="n">
        <f aca="false">SQRT(SUMPRODUCT((Raw_Sales_Weekly!$A$2:$A$1806=A42)*(Raw_Sales_Weekly!$C$2:$C$1806-I42)^2)/COUNTIF(Raw_Sales_Weekly!$A$2:$A$1806,A42))</f>
        <v>7.52063827078527</v>
      </c>
      <c r="K42" s="34" t="n">
        <f aca="false">IFERROR(J42/I42,0)</f>
        <v>0.129220588845108</v>
      </c>
      <c r="L42" s="18" t="str">
        <f aca="false">IF(K42&lt;=Assumptions!$C$14,"X",IF(K42&lt;=Assumptions!$C$15,"Y","Z"))</f>
        <v>X</v>
      </c>
      <c r="M42" s="18" t="str">
        <f aca="false">H42&amp;L42</f>
        <v>CX</v>
      </c>
    </row>
    <row r="43" customFormat="false" ht="15" hidden="false" customHeight="true" outlineLevel="0" collapsed="false">
      <c r="A43" s="18" t="s">
        <v>223</v>
      </c>
      <c r="B43" s="31" t="str">
        <f aca="false">INDEX(Raw_SKU_Master!$B$2:$B$41,MATCH(A43,Raw_SKU_Master!$A$2:$A$41,0))</f>
        <v>Seals Item 04 - Seals &amp; Gaskets</v>
      </c>
      <c r="C43" s="31" t="str">
        <f aca="false">INDEX(Raw_SKU_Master!$C$2:$C$41,MATCH(A43,Raw_SKU_Master!$A$2:$A$41,0))</f>
        <v>Seals &amp; Gaskets</v>
      </c>
      <c r="D43" s="19" t="n">
        <f aca="false">SUMIF(Raw_Sales_Weekly!$A$2:$A$1806,A43,Raw_Sales_Weekly!$D$2:$D$1806)</f>
        <v>7457.15</v>
      </c>
      <c r="E43" s="18" t="n">
        <f aca="false">SUMIF(Raw_Sales_Weekly!$A$2:$A$1806,A43,Raw_Sales_Weekly!$C$2:$C$1806)</f>
        <v>4386</v>
      </c>
      <c r="F43" s="19" t="n">
        <f aca="false">SUM($D$6:D43)</f>
        <v>3155178.12</v>
      </c>
      <c r="G43" s="32" t="n">
        <f aca="false">F43/SUM($D$6:$D$45)</f>
        <v>0.997483596865688</v>
      </c>
      <c r="H43" s="18" t="str">
        <f aca="false">IF(G43&lt;=Assumptions!$C$12,"A",IF(G43&lt;=Assumptions!$C$13,"B","C"))</f>
        <v>C</v>
      </c>
      <c r="I43" s="33" t="n">
        <f aca="false">AVERAGEIF(Raw_Sales_Weekly!$A$2:$A$1806,A43,Raw_Sales_Weekly!$C$2:$C$1806)</f>
        <v>84.3461538461538</v>
      </c>
      <c r="J43" s="33" t="n">
        <f aca="false">SQRT(SUMPRODUCT((Raw_Sales_Weekly!$A$2:$A$1806=A43)*(Raw_Sales_Weekly!$C$2:$C$1806-I43)^2)/COUNTIF(Raw_Sales_Weekly!$A$2:$A$1806,A43))</f>
        <v>15.7222094446832</v>
      </c>
      <c r="K43" s="34" t="n">
        <f aca="false">IFERROR(J43/I43,0)</f>
        <v>0.186401023967972</v>
      </c>
      <c r="L43" s="18" t="str">
        <f aca="false">IF(K43&lt;=Assumptions!$C$14,"X",IF(K43&lt;=Assumptions!$C$15,"Y","Z"))</f>
        <v>X</v>
      </c>
      <c r="M43" s="18" t="str">
        <f aca="false">H43&amp;L43</f>
        <v>CX</v>
      </c>
    </row>
    <row r="44" customFormat="false" ht="15" hidden="false" customHeight="true" outlineLevel="0" collapsed="false">
      <c r="A44" s="18" t="s">
        <v>219</v>
      </c>
      <c r="B44" s="31" t="str">
        <f aca="false">INDEX(Raw_SKU_Master!$B$2:$B$41,MATCH(A44,Raw_SKU_Master!$A$2:$A$41,0))</f>
        <v>Seals Item 02 - Seals &amp; Gaskets</v>
      </c>
      <c r="C44" s="31" t="str">
        <f aca="false">INDEX(Raw_SKU_Master!$C$2:$C$41,MATCH(A44,Raw_SKU_Master!$A$2:$A$41,0))</f>
        <v>Seals &amp; Gaskets</v>
      </c>
      <c r="D44" s="19" t="n">
        <f aca="false">SUMIF(Raw_Sales_Weekly!$A$2:$A$1806,A44,Raw_Sales_Weekly!$D$2:$D$1806)</f>
        <v>5993.44</v>
      </c>
      <c r="E44" s="18" t="n">
        <f aca="false">SUMIF(Raw_Sales_Weekly!$A$2:$A$1806,A44,Raw_Sales_Weekly!$C$2:$C$1806)</f>
        <v>3482</v>
      </c>
      <c r="F44" s="19" t="n">
        <f aca="false">SUM($D$6:D44)</f>
        <v>3161171.56</v>
      </c>
      <c r="G44" s="32" t="n">
        <f aca="false">F44/SUM($D$6:$D$45)</f>
        <v>0.999378373598229</v>
      </c>
      <c r="H44" s="18" t="str">
        <f aca="false">IF(G44&lt;=Assumptions!$C$12,"A",IF(G44&lt;=Assumptions!$C$13,"B","C"))</f>
        <v>C</v>
      </c>
      <c r="I44" s="33" t="n">
        <f aca="false">AVERAGEIF(Raw_Sales_Weekly!$A$2:$A$1806,A44,Raw_Sales_Weekly!$C$2:$C$1806)</f>
        <v>66.9615384615385</v>
      </c>
      <c r="J44" s="33" t="n">
        <f aca="false">SQRT(SUMPRODUCT((Raw_Sales_Weekly!$A$2:$A$1806=A44)*(Raw_Sales_Weekly!$C$2:$C$1806-I44)^2)/COUNTIF(Raw_Sales_Weekly!$A$2:$A$1806,A44))</f>
        <v>14.4621010528867</v>
      </c>
      <c r="K44" s="34" t="n">
        <f aca="false">IFERROR(J44/I44,0)</f>
        <v>0.215976236286647</v>
      </c>
      <c r="L44" s="18" t="str">
        <f aca="false">IF(K44&lt;=Assumptions!$C$14,"X",IF(K44&lt;=Assumptions!$C$15,"Y","Z"))</f>
        <v>X</v>
      </c>
      <c r="M44" s="18" t="str">
        <f aca="false">H44&amp;L44</f>
        <v>CX</v>
      </c>
    </row>
    <row r="45" customFormat="false" ht="15" hidden="false" customHeight="true" outlineLevel="0" collapsed="false">
      <c r="A45" s="18" t="s">
        <v>260</v>
      </c>
      <c r="B45" s="31" t="str">
        <f aca="false">INDEX(Raw_SKU_Master!$B$2:$B$41,MATCH(A45,Raw_SKU_Master!$A$2:$A$41,0))</f>
        <v>Packaging Materials Item 03 - Packaging Materials</v>
      </c>
      <c r="C45" s="31" t="str">
        <f aca="false">INDEX(Raw_SKU_Master!$C$2:$C$41,MATCH(A45,Raw_SKU_Master!$A$2:$A$41,0))</f>
        <v>Packaging Materials</v>
      </c>
      <c r="D45" s="19" t="n">
        <f aca="false">SUMIF(Raw_Sales_Weekly!$A$2:$A$1806,A45,Raw_Sales_Weekly!$D$2:$D$1806)</f>
        <v>1966.29</v>
      </c>
      <c r="E45" s="18" t="n">
        <f aca="false">SUMIF(Raw_Sales_Weekly!$A$2:$A$1806,A45,Raw_Sales_Weekly!$C$2:$C$1806)</f>
        <v>1169</v>
      </c>
      <c r="F45" s="19" t="n">
        <f aca="false">SUM($D$6:D45)</f>
        <v>3163137.85</v>
      </c>
      <c r="G45" s="32" t="n">
        <f aca="false">F45/SUM($D$6:$D$45)</f>
        <v>1</v>
      </c>
      <c r="H45" s="18" t="str">
        <f aca="false">IF(G45&lt;=Assumptions!$C$12,"A",IF(G45&lt;=Assumptions!$C$13,"B","C"))</f>
        <v>C</v>
      </c>
      <c r="I45" s="33" t="n">
        <f aca="false">AVERAGEIF(Raw_Sales_Weekly!$A$2:$A$1806,A45,Raw_Sales_Weekly!$C$2:$C$1806)</f>
        <v>89.9230769230769</v>
      </c>
      <c r="J45" s="33" t="n">
        <f aca="false">SQRT(SUMPRODUCT((Raw_Sales_Weekly!$A$2:$A$1806=A45)*(Raw_Sales_Weekly!$C$2:$C$1806-I45)^2)/COUNTIF(Raw_Sales_Weekly!$A$2:$A$1806,A45))</f>
        <v>7.76046725854867</v>
      </c>
      <c r="K45" s="34" t="n">
        <f aca="false">IFERROR(J45/I45,0)</f>
        <v>0.0863011756724831</v>
      </c>
      <c r="L45" s="18" t="str">
        <f aca="false">IF(K45&lt;=Assumptions!$C$14,"X",IF(K45&lt;=Assumptions!$C$15,"Y","Z"))</f>
        <v>X</v>
      </c>
      <c r="M45" s="18" t="str">
        <f aca="false">H45&amp;L45</f>
        <v>CX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1" min="10" style="1" width="11"/>
    <col collapsed="false" customWidth="true" hidden="false" outlineLevel="0" max="12" min="12" style="1" width="8"/>
    <col collapsed="false" customWidth="true" hidden="false" outlineLevel="0" max="15" min="13" style="1" width="11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8" min="18" style="1" width="13"/>
    <col collapsed="false" customWidth="true" hidden="false" outlineLevel="0" max="19" min="19" style="1" width="11"/>
    <col collapsed="false" customWidth="true" hidden="false" outlineLevel="0" max="21" min="20" style="1" width="8"/>
    <col collapsed="false" customWidth="true" hidden="false" outlineLevel="0" max="22" min="22" style="1" width="11"/>
    <col collapsed="false" customWidth="true" hidden="false" outlineLevel="0" max="24" min="23" style="1" width="12"/>
  </cols>
  <sheetData>
    <row r="2" customFormat="false" ht="17.25" hidden="false" customHeight="true" outlineLevel="0" collapsed="false">
      <c r="B2" s="21" t="s">
        <v>351</v>
      </c>
    </row>
    <row r="3" customFormat="false" ht="15" hidden="false" customHeight="true" outlineLevel="0" collapsed="false">
      <c r="B3" s="3" t="s">
        <v>352</v>
      </c>
    </row>
    <row r="5" customFormat="false" ht="15" hidden="false" customHeight="true" outlineLevel="0" collapsed="false">
      <c r="B5" s="24" t="s">
        <v>353</v>
      </c>
      <c r="F5" s="35" t="n">
        <f aca="false">MAX(60,PERCENTILE(P9:P48,0.75))</f>
        <v>60</v>
      </c>
    </row>
    <row r="8" customFormat="false" ht="30" hidden="false" customHeight="true" outlineLevel="0" collapsed="false">
      <c r="A8" s="25" t="s">
        <v>19</v>
      </c>
      <c r="B8" s="25" t="s">
        <v>147</v>
      </c>
      <c r="C8" s="25" t="s">
        <v>21</v>
      </c>
      <c r="D8" s="25" t="s">
        <v>23</v>
      </c>
      <c r="E8" s="25" t="s">
        <v>149</v>
      </c>
      <c r="F8" s="25" t="s">
        <v>354</v>
      </c>
      <c r="G8" s="25" t="s">
        <v>347</v>
      </c>
      <c r="H8" s="25" t="s">
        <v>355</v>
      </c>
      <c r="I8" s="25" t="s">
        <v>356</v>
      </c>
      <c r="J8" s="25" t="s">
        <v>357</v>
      </c>
      <c r="K8" s="25" t="s">
        <v>358</v>
      </c>
      <c r="L8" s="25" t="s">
        <v>76</v>
      </c>
      <c r="M8" s="25" t="s">
        <v>359</v>
      </c>
      <c r="N8" s="25" t="s">
        <v>360</v>
      </c>
      <c r="O8" s="25" t="s">
        <v>361</v>
      </c>
      <c r="P8" s="25" t="s">
        <v>22</v>
      </c>
      <c r="Q8" s="25" t="s">
        <v>362</v>
      </c>
      <c r="R8" s="25" t="s">
        <v>363</v>
      </c>
      <c r="S8" s="25" t="s">
        <v>364</v>
      </c>
      <c r="T8" s="25" t="s">
        <v>349</v>
      </c>
      <c r="U8" s="25" t="s">
        <v>345</v>
      </c>
      <c r="V8" s="25" t="s">
        <v>365</v>
      </c>
      <c r="W8" s="25" t="s">
        <v>24</v>
      </c>
      <c r="X8" s="17" t="s">
        <v>366</v>
      </c>
    </row>
    <row r="9" customFormat="false" ht="15" hidden="false" customHeight="true" outlineLevel="0" collapsed="false">
      <c r="A9" s="18" t="s">
        <v>249</v>
      </c>
      <c r="B9" s="31" t="str">
        <f aca="false">ABC_XYZ_Classification!B6</f>
        <v>Raw Material Item 04 - Raw Material - Metal Stock</v>
      </c>
      <c r="C9" s="31" t="str">
        <f aca="false">ABC_XYZ_Classification!C6</f>
        <v>Raw Material - Metal Stock</v>
      </c>
      <c r="D9" s="18" t="n">
        <f aca="false">INDEX(Raw_SKU_Master!$I$2:$I$41,MATCH(A9,Raw_SKU_Master!$A$2:$A$41,0))</f>
        <v>38</v>
      </c>
      <c r="E9" s="30" t="n">
        <f aca="false">INDEX(Raw_SKU_Master!$E$2:$E$41,MATCH(A9,Raw_SKU_Master!$A$2:$A$41,0))</f>
        <v>34.39</v>
      </c>
      <c r="F9" s="36" t="n">
        <f aca="false">ABC_XYZ_Classification!E6/(Assumptions!$C$18*7)</f>
        <v>28.9120879120879</v>
      </c>
      <c r="G9" s="36" t="n">
        <f aca="false">ABC_XYZ_Classification!J6</f>
        <v>121.642137436005</v>
      </c>
      <c r="H9" s="18" t="n">
        <f aca="false">D9/7</f>
        <v>5.42857142857143</v>
      </c>
      <c r="I9" s="36" t="n">
        <f aca="false">ROUNDUP(Assumptions!$C$6*G9*SQRT(H9),0)</f>
        <v>468</v>
      </c>
      <c r="J9" s="36" t="n">
        <f aca="false">ROUNDUP(F9*D9+I9,0)</f>
        <v>1567</v>
      </c>
      <c r="K9" s="36" t="n">
        <f aca="false">ABC_XYZ_Classification!E6</f>
        <v>10524</v>
      </c>
      <c r="L9" s="36" t="n">
        <f aca="false">ROUND(SQRT((2*K9*Assumptions!$C$7)/(E9*Assumptions!$C$8)),0)</f>
        <v>457</v>
      </c>
      <c r="M9" s="36" t="n">
        <f aca="false">ROUNDUP(L9/Assumptions!$C$9,0)*Assumptions!$C$9</f>
        <v>475</v>
      </c>
      <c r="N9" s="36" t="n">
        <f aca="false">AVERAGEIF(Raw_Inventory_Monthly!$A$2:$A$481,A9,Raw_Inventory_Monthly!$C$2:$C$481)</f>
        <v>2050.66666666667</v>
      </c>
      <c r="O9" s="36" t="n">
        <f aca="false">AVERAGEIF(Raw_Inventory_Monthly!$A$2:$A$481,A9,Raw_Inventory_Monthly!$G$2:$G$481)</f>
        <v>194.5</v>
      </c>
      <c r="P9" s="36" t="n">
        <f aca="false">IFERROR(N9/F9,0)</f>
        <v>70.9276574179653</v>
      </c>
      <c r="Q9" s="36" t="n">
        <f aca="false">IFERROR((N9+O9)/F9,0)</f>
        <v>77.6549474217661</v>
      </c>
      <c r="R9" s="18" t="str">
        <f aca="false">IF(Q9&lt;Assumptions!$C$16*D9,"Stockout Risk",IF(Q9&gt;Assumptions!$C$17*D9,"Overstock","Healthy"))</f>
        <v>Healthy</v>
      </c>
      <c r="S9" s="37" t="n">
        <f aca="false">ROUND(FORECAST(MAX(Raw_Sales_Weekly!$E$1484:$E$1533)+1,Raw_Sales_Weekly!$C$1484:$C$1533,Raw_Sales_Weekly!$E$1484:$E$1533),0)</f>
        <v>185</v>
      </c>
      <c r="T9" s="18" t="str">
        <f aca="false">ABC_XYZ_Classification!L6</f>
        <v>Z</v>
      </c>
      <c r="U9" s="18" t="str">
        <f aca="false">ABC_XYZ_Classification!H6</f>
        <v>A</v>
      </c>
      <c r="V9" s="18" t="str">
        <f aca="false">IF(AND(P9&gt;$F$5,T9="Z"),"Yes","No")</f>
        <v>Yes</v>
      </c>
      <c r="W9" s="19" t="n">
        <f aca="false">N9*E9</f>
        <v>70522.4266666667</v>
      </c>
      <c r="X9" s="18" t="n">
        <f aca="false">IF(V9="Yes",COUNTIF($V$9:V9,"Yes"),"")</f>
        <v>1</v>
      </c>
    </row>
    <row r="10" customFormat="false" ht="15" hidden="false" customHeight="true" outlineLevel="0" collapsed="false">
      <c r="A10" s="18" t="s">
        <v>247</v>
      </c>
      <c r="B10" s="31" t="str">
        <f aca="false">ABC_XYZ_Classification!B7</f>
        <v>Raw Material Item 03 - Raw Material - Metal Stock</v>
      </c>
      <c r="C10" s="31" t="str">
        <f aca="false">ABC_XYZ_Classification!C7</f>
        <v>Raw Material - Metal Stock</v>
      </c>
      <c r="D10" s="18" t="n">
        <f aca="false">INDEX(Raw_SKU_Master!$I$2:$I$41,MATCH(A10,Raw_SKU_Master!$A$2:$A$41,0))</f>
        <v>43</v>
      </c>
      <c r="E10" s="30" t="n">
        <f aca="false">INDEX(Raw_SKU_Master!$E$2:$E$41,MATCH(A10,Raw_SKU_Master!$A$2:$A$41,0))</f>
        <v>25.32</v>
      </c>
      <c r="F10" s="36" t="n">
        <f aca="false">ABC_XYZ_Classification!E7/(Assumptions!$C$18*7)</f>
        <v>22.6703296703297</v>
      </c>
      <c r="G10" s="36" t="n">
        <f aca="false">ABC_XYZ_Classification!J7</f>
        <v>93.0900933226376</v>
      </c>
      <c r="H10" s="18" t="n">
        <f aca="false">D10/7</f>
        <v>6.14285714285714</v>
      </c>
      <c r="I10" s="36" t="n">
        <f aca="false">ROUNDUP(Assumptions!$C$6*G10*SQRT(H10),0)</f>
        <v>381</v>
      </c>
      <c r="J10" s="36" t="n">
        <f aca="false">ROUNDUP(F10*D10+I10,0)</f>
        <v>1356</v>
      </c>
      <c r="K10" s="36" t="n">
        <f aca="false">ABC_XYZ_Classification!E7</f>
        <v>8252</v>
      </c>
      <c r="L10" s="36" t="n">
        <f aca="false">ROUND(SQRT((2*K10*Assumptions!$C$7)/(E10*Assumptions!$C$8)),0)</f>
        <v>471</v>
      </c>
      <c r="M10" s="36" t="n">
        <f aca="false">ROUNDUP(L10/Assumptions!$C$9,0)*Assumptions!$C$9</f>
        <v>475</v>
      </c>
      <c r="N10" s="36" t="n">
        <f aca="false">AVERAGEIF(Raw_Inventory_Monthly!$A$2:$A$481,A10,Raw_Inventory_Monthly!$C$2:$C$481)</f>
        <v>474.25</v>
      </c>
      <c r="O10" s="36" t="n">
        <f aca="false">AVERAGEIF(Raw_Inventory_Monthly!$A$2:$A$481,A10,Raw_Inventory_Monthly!$G$2:$G$481)</f>
        <v>185.25</v>
      </c>
      <c r="P10" s="36" t="n">
        <f aca="false">IFERROR(N10/F10,0)</f>
        <v>20.9194134755211</v>
      </c>
      <c r="Q10" s="36" t="n">
        <f aca="false">IFERROR((N10+O10)/F10,0)</f>
        <v>29.090887057683</v>
      </c>
      <c r="R10" s="18" t="str">
        <f aca="false">IF(Q10&lt;Assumptions!$C$16*D10,"Stockout Risk",IF(Q10&gt;Assumptions!$C$17*D10,"Overstock","Healthy"))</f>
        <v>Stockout Risk</v>
      </c>
      <c r="S10" s="37" t="n">
        <f aca="false">ROUND(FORECAST(MAX(Raw_Sales_Weekly!$E$1433:$E$1483)+1,Raw_Sales_Weekly!$C$1433:$C$1483,Raw_Sales_Weekly!$E$1433:$E$1483),0)</f>
        <v>152</v>
      </c>
      <c r="T10" s="18" t="str">
        <f aca="false">ABC_XYZ_Classification!L7</f>
        <v>Z</v>
      </c>
      <c r="U10" s="18" t="str">
        <f aca="false">ABC_XYZ_Classification!H7</f>
        <v>A</v>
      </c>
      <c r="V10" s="18" t="str">
        <f aca="false">IF(AND(P10&gt;$F$5,T10="Z"),"Yes","No")</f>
        <v>No</v>
      </c>
      <c r="W10" s="19" t="n">
        <f aca="false">N10*E10</f>
        <v>12008.01</v>
      </c>
      <c r="X10" s="18" t="str">
        <f aca="false">IF(V10="Yes",COUNTIF($V$9:V10,"Yes"),"")</f>
        <v/>
      </c>
    </row>
    <row r="11" customFormat="false" ht="15" hidden="false" customHeight="true" outlineLevel="0" collapsed="false">
      <c r="A11" s="18" t="s">
        <v>228</v>
      </c>
      <c r="B11" s="31" t="str">
        <f aca="false">ABC_XYZ_Classification!B8</f>
        <v>Pneumatic Components Item 01 - Pneumatic Components</v>
      </c>
      <c r="C11" s="31" t="str">
        <f aca="false">ABC_XYZ_Classification!C8</f>
        <v>Pneumatic Components</v>
      </c>
      <c r="D11" s="18" t="n">
        <f aca="false">INDEX(Raw_SKU_Master!$I$2:$I$41,MATCH(A11,Raw_SKU_Master!$A$2:$A$41,0))</f>
        <v>55</v>
      </c>
      <c r="E11" s="30" t="n">
        <f aca="false">INDEX(Raw_SKU_Master!$E$2:$E$41,MATCH(A11,Raw_SKU_Master!$A$2:$A$41,0))</f>
        <v>14.33</v>
      </c>
      <c r="F11" s="36" t="n">
        <f aca="false">ABC_XYZ_Classification!E8/(Assumptions!$C$18*7)</f>
        <v>22.6923076923077</v>
      </c>
      <c r="G11" s="36" t="n">
        <f aca="false">ABC_XYZ_Classification!J8</f>
        <v>80.4310885168167</v>
      </c>
      <c r="H11" s="18" t="n">
        <f aca="false">D11/7</f>
        <v>7.85714285714286</v>
      </c>
      <c r="I11" s="36" t="n">
        <f aca="false">ROUNDUP(Assumptions!$C$6*G11*SQRT(H11),0)</f>
        <v>372</v>
      </c>
      <c r="J11" s="36" t="n">
        <f aca="false">ROUNDUP(F11*D11+I11,0)</f>
        <v>1621</v>
      </c>
      <c r="K11" s="36" t="n">
        <f aca="false">ABC_XYZ_Classification!E8</f>
        <v>8260</v>
      </c>
      <c r="L11" s="36" t="n">
        <f aca="false">ROUND(SQRT((2*K11*Assumptions!$C$7)/(E11*Assumptions!$C$8)),0)</f>
        <v>627</v>
      </c>
      <c r="M11" s="36" t="n">
        <f aca="false">ROUNDUP(L11/Assumptions!$C$9,0)*Assumptions!$C$9</f>
        <v>650</v>
      </c>
      <c r="N11" s="36" t="n">
        <f aca="false">AVERAGEIF(Raw_Inventory_Monthly!$A$2:$A$481,A11,Raw_Inventory_Monthly!$C$2:$C$481)</f>
        <v>1192.58333333333</v>
      </c>
      <c r="O11" s="36" t="n">
        <f aca="false">AVERAGEIF(Raw_Inventory_Monthly!$A$2:$A$481,A11,Raw_Inventory_Monthly!$G$2:$G$481)</f>
        <v>114</v>
      </c>
      <c r="P11" s="36" t="n">
        <f aca="false">IFERROR(N11/F11,0)</f>
        <v>52.5545197740113</v>
      </c>
      <c r="Q11" s="36" t="n">
        <f aca="false">IFERROR((N11+O11)/F11,0)</f>
        <v>57.5782485875706</v>
      </c>
      <c r="R11" s="18" t="str">
        <f aca="false">IF(Q11&lt;Assumptions!$C$16*D11,"Stockout Risk",IF(Q11&gt;Assumptions!$C$17*D11,"Overstock","Healthy"))</f>
        <v>Healthy</v>
      </c>
      <c r="S11" s="37" t="n">
        <f aca="false">ROUND(FORECAST(MAX(Raw_Sales_Weekly!$E$1152:$E$1201)+1,Raw_Sales_Weekly!$C$1152:$C$1201,Raw_Sales_Weekly!$E$1152:$E$1201),0)</f>
        <v>136</v>
      </c>
      <c r="T11" s="18" t="str">
        <f aca="false">ABC_XYZ_Classification!L8</f>
        <v>Y</v>
      </c>
      <c r="U11" s="18" t="str">
        <f aca="false">ABC_XYZ_Classification!H8</f>
        <v>A</v>
      </c>
      <c r="V11" s="18" t="str">
        <f aca="false">IF(AND(P11&gt;$F$5,T11="Z"),"Yes","No")</f>
        <v>No</v>
      </c>
      <c r="W11" s="19" t="n">
        <f aca="false">N11*E11</f>
        <v>17089.7191666667</v>
      </c>
      <c r="X11" s="18" t="str">
        <f aca="false">IF(V11="Yes",COUNTIF($V$9:V11,"Yes"),"")</f>
        <v/>
      </c>
    </row>
    <row r="12" customFormat="false" ht="15" hidden="false" customHeight="true" outlineLevel="0" collapsed="false">
      <c r="A12" s="18" t="s">
        <v>241</v>
      </c>
      <c r="B12" s="31" t="str">
        <f aca="false">ABC_XYZ_Classification!B9</f>
        <v>Raw Material Item 01 - Raw Material - Metal Stock</v>
      </c>
      <c r="C12" s="31" t="str">
        <f aca="false">ABC_XYZ_Classification!C9</f>
        <v>Raw Material - Metal Stock</v>
      </c>
      <c r="D12" s="18" t="n">
        <f aca="false">INDEX(Raw_SKU_Master!$I$2:$I$41,MATCH(A12,Raw_SKU_Master!$A$2:$A$41,0))</f>
        <v>40</v>
      </c>
      <c r="E12" s="30" t="n">
        <f aca="false">INDEX(Raw_SKU_Master!$E$2:$E$41,MATCH(A12,Raw_SKU_Master!$A$2:$A$41,0))</f>
        <v>31.3</v>
      </c>
      <c r="F12" s="36" t="n">
        <f aca="false">ABC_XYZ_Classification!E9/(Assumptions!$C$18*7)</f>
        <v>11.2115384615385</v>
      </c>
      <c r="G12" s="36" t="n">
        <f aca="false">ABC_XYZ_Classification!J9</f>
        <v>50.2068232985176</v>
      </c>
      <c r="H12" s="18" t="n">
        <f aca="false">D12/7</f>
        <v>5.71428571428571</v>
      </c>
      <c r="I12" s="36" t="n">
        <f aca="false">ROUNDUP(Assumptions!$C$6*G12*SQRT(H12),0)</f>
        <v>199</v>
      </c>
      <c r="J12" s="36" t="n">
        <f aca="false">ROUNDUP(F12*D12+I12,0)</f>
        <v>648</v>
      </c>
      <c r="K12" s="36" t="n">
        <f aca="false">ABC_XYZ_Classification!E9</f>
        <v>4081</v>
      </c>
      <c r="L12" s="36" t="n">
        <f aca="false">ROUND(SQRT((2*K12*Assumptions!$C$7)/(E12*Assumptions!$C$8)),0)</f>
        <v>298</v>
      </c>
      <c r="M12" s="36" t="n">
        <f aca="false">ROUNDUP(L12/Assumptions!$C$9,0)*Assumptions!$C$9</f>
        <v>300</v>
      </c>
      <c r="N12" s="36" t="n">
        <f aca="false">AVERAGEIF(Raw_Inventory_Monthly!$A$2:$A$481,A12,Raw_Inventory_Monthly!$C$2:$C$481)</f>
        <v>1041.16666666667</v>
      </c>
      <c r="O12" s="36" t="n">
        <f aca="false">AVERAGEIF(Raw_Inventory_Monthly!$A$2:$A$481,A12,Raw_Inventory_Monthly!$G$2:$G$481)</f>
        <v>75.3333333333333</v>
      </c>
      <c r="P12" s="36" t="n">
        <f aca="false">IFERROR(N12/F12,0)</f>
        <v>92.8656375071469</v>
      </c>
      <c r="Q12" s="36" t="n">
        <f aca="false">IFERROR((N12+O12)/F12,0)</f>
        <v>99.5849056603774</v>
      </c>
      <c r="R12" s="18" t="str">
        <f aca="false">IF(Q12&lt;Assumptions!$C$16*D12,"Stockout Risk",IF(Q12&gt;Assumptions!$C$17*D12,"Overstock","Healthy"))</f>
        <v>Healthy</v>
      </c>
      <c r="S12" s="37" t="n">
        <f aca="false">ROUND(FORECAST(MAX(Raw_Sales_Weekly!$E$1377:$E$1427)+1,Raw_Sales_Weekly!$C$1377:$C$1427,Raw_Sales_Weekly!$E$1377:$E$1427),0)</f>
        <v>100</v>
      </c>
      <c r="T12" s="18" t="str">
        <f aca="false">ABC_XYZ_Classification!L9</f>
        <v>Z</v>
      </c>
      <c r="U12" s="18" t="str">
        <f aca="false">ABC_XYZ_Classification!H9</f>
        <v>A</v>
      </c>
      <c r="V12" s="18" t="str">
        <f aca="false">IF(AND(P12&gt;$F$5,T12="Z"),"Yes","No")</f>
        <v>Yes</v>
      </c>
      <c r="W12" s="19" t="n">
        <f aca="false">N12*E12</f>
        <v>32588.5166666667</v>
      </c>
      <c r="X12" s="18" t="n">
        <f aca="false">IF(V12="Yes",COUNTIF($V$9:V12,"Yes"),"")</f>
        <v>2</v>
      </c>
    </row>
    <row r="13" customFormat="false" ht="15" hidden="false" customHeight="true" outlineLevel="0" collapsed="false">
      <c r="A13" s="18" t="s">
        <v>199</v>
      </c>
      <c r="B13" s="31" t="str">
        <f aca="false">ABC_XYZ_Classification!B10</f>
        <v>Electric Motors Item 05 - Electric Motors &amp; Drives</v>
      </c>
      <c r="C13" s="31" t="str">
        <f aca="false">ABC_XYZ_Classification!C10</f>
        <v>Electric Motors &amp; Drives</v>
      </c>
      <c r="D13" s="18" t="n">
        <f aca="false">INDEX(Raw_SKU_Master!$I$2:$I$41,MATCH(A13,Raw_SKU_Master!$A$2:$A$41,0))</f>
        <v>40</v>
      </c>
      <c r="E13" s="30" t="n">
        <f aca="false">INDEX(Raw_SKU_Master!$E$2:$E$41,MATCH(A13,Raw_SKU_Master!$A$2:$A$41,0))</f>
        <v>20.28</v>
      </c>
      <c r="F13" s="36" t="n">
        <f aca="false">ABC_XYZ_Classification!E10/(Assumptions!$C$18*7)</f>
        <v>10.2252747252747</v>
      </c>
      <c r="G13" s="36" t="n">
        <f aca="false">ABC_XYZ_Classification!J10</f>
        <v>10.5088719914434</v>
      </c>
      <c r="H13" s="18" t="n">
        <f aca="false">D13/7</f>
        <v>5.71428571428571</v>
      </c>
      <c r="I13" s="36" t="n">
        <f aca="false">ROUNDUP(Assumptions!$C$6*G13*SQRT(H13),0)</f>
        <v>42</v>
      </c>
      <c r="J13" s="36" t="n">
        <f aca="false">ROUNDUP(F13*D13+I13,0)</f>
        <v>452</v>
      </c>
      <c r="K13" s="36" t="n">
        <f aca="false">ABC_XYZ_Classification!E10</f>
        <v>3722</v>
      </c>
      <c r="L13" s="36" t="n">
        <f aca="false">ROUND(SQRT((2*K13*Assumptions!$C$7)/(E13*Assumptions!$C$8)),0)</f>
        <v>354</v>
      </c>
      <c r="M13" s="36" t="n">
        <f aca="false">ROUNDUP(L13/Assumptions!$C$9,0)*Assumptions!$C$9</f>
        <v>375</v>
      </c>
      <c r="N13" s="36" t="n">
        <f aca="false">AVERAGEIF(Raw_Inventory_Monthly!$A$2:$A$481,A13,Raw_Inventory_Monthly!$C$2:$C$481)</f>
        <v>277.833333333333</v>
      </c>
      <c r="O13" s="36" t="n">
        <f aca="false">AVERAGEIF(Raw_Inventory_Monthly!$A$2:$A$481,A13,Raw_Inventory_Monthly!$G$2:$G$481)</f>
        <v>75.1666666666667</v>
      </c>
      <c r="P13" s="36" t="n">
        <f aca="false">IFERROR(N13/F13,0)</f>
        <v>27.1712341035286</v>
      </c>
      <c r="Q13" s="36" t="n">
        <f aca="false">IFERROR((N13+O13)/F13,0)</f>
        <v>34.5222998387964</v>
      </c>
      <c r="R13" s="18" t="str">
        <f aca="false">IF(Q13&lt;Assumptions!$C$16*D13,"Stockout Risk",IF(Q13&gt;Assumptions!$C$17*D13,"Overstock","Healthy"))</f>
        <v>Stockout Risk</v>
      </c>
      <c r="S13" s="37" t="n">
        <f aca="false">ROUND(FORECAST(MAX(Raw_Sales_Weekly!$E$615:$E$666)+1,Raw_Sales_Weekly!$C$615:$C$666,Raw_Sales_Weekly!$E$615:$E$666),0)</f>
        <v>68</v>
      </c>
      <c r="T13" s="18" t="str">
        <f aca="false">ABC_XYZ_Classification!L10</f>
        <v>X</v>
      </c>
      <c r="U13" s="18" t="str">
        <f aca="false">ABC_XYZ_Classification!H10</f>
        <v>A</v>
      </c>
      <c r="V13" s="18" t="str">
        <f aca="false">IF(AND(P13&gt;$F$5,T13="Z"),"Yes","No")</f>
        <v>No</v>
      </c>
      <c r="W13" s="19" t="n">
        <f aca="false">N13*E13</f>
        <v>5634.46</v>
      </c>
      <c r="X13" s="18" t="str">
        <f aca="false">IF(V13="Yes",COUNTIF($V$9:V13,"Yes"),"")</f>
        <v/>
      </c>
    </row>
    <row r="14" customFormat="false" ht="15" hidden="false" customHeight="true" outlineLevel="0" collapsed="false">
      <c r="A14" s="18" t="s">
        <v>188</v>
      </c>
      <c r="B14" s="31" t="str">
        <f aca="false">ABC_XYZ_Classification!B11</f>
        <v>Electric Motors Item 01 - Electric Motors &amp; Drives</v>
      </c>
      <c r="C14" s="31" t="str">
        <f aca="false">ABC_XYZ_Classification!C11</f>
        <v>Electric Motors &amp; Drives</v>
      </c>
      <c r="D14" s="18" t="n">
        <f aca="false">INDEX(Raw_SKU_Master!$I$2:$I$41,MATCH(A14,Raw_SKU_Master!$A$2:$A$41,0))</f>
        <v>32</v>
      </c>
      <c r="E14" s="30" t="n">
        <f aca="false">INDEX(Raw_SKU_Master!$E$2:$E$41,MATCH(A14,Raw_SKU_Master!$A$2:$A$41,0))</f>
        <v>13.08</v>
      </c>
      <c r="F14" s="36" t="n">
        <f aca="false">ABC_XYZ_Classification!E11/(Assumptions!$C$18*7)</f>
        <v>14.0879120879121</v>
      </c>
      <c r="G14" s="36" t="n">
        <f aca="false">ABC_XYZ_Classification!J11</f>
        <v>13.1473218187552</v>
      </c>
      <c r="H14" s="18" t="n">
        <f aca="false">D14/7</f>
        <v>4.57142857142857</v>
      </c>
      <c r="I14" s="36" t="n">
        <f aca="false">ROUNDUP(Assumptions!$C$6*G14*SQRT(H14),0)</f>
        <v>47</v>
      </c>
      <c r="J14" s="36" t="n">
        <f aca="false">ROUNDUP(F14*D14+I14,0)</f>
        <v>498</v>
      </c>
      <c r="K14" s="36" t="n">
        <f aca="false">ABC_XYZ_Classification!E11</f>
        <v>5128</v>
      </c>
      <c r="L14" s="36" t="n">
        <f aca="false">ROUND(SQRT((2*K14*Assumptions!$C$7)/(E14*Assumptions!$C$8)),0)</f>
        <v>517</v>
      </c>
      <c r="M14" s="36" t="n">
        <f aca="false">ROUNDUP(L14/Assumptions!$C$9,0)*Assumptions!$C$9</f>
        <v>525</v>
      </c>
      <c r="N14" s="36" t="n">
        <f aca="false">AVERAGEIF(Raw_Inventory_Monthly!$A$2:$A$481,A14,Raw_Inventory_Monthly!$C$2:$C$481)</f>
        <v>317.083333333333</v>
      </c>
      <c r="O14" s="36" t="n">
        <f aca="false">AVERAGEIF(Raw_Inventory_Monthly!$A$2:$A$481,A14,Raw_Inventory_Monthly!$G$2:$G$481)</f>
        <v>91.25</v>
      </c>
      <c r="P14" s="36" t="n">
        <f aca="false">IFERROR(N14/F14,0)</f>
        <v>22.507475299012</v>
      </c>
      <c r="Q14" s="36" t="n">
        <f aca="false">IFERROR((N14+O14)/F14,0)</f>
        <v>28.9846593863755</v>
      </c>
      <c r="R14" s="18" t="str">
        <f aca="false">IF(Q14&lt;Assumptions!$C$16*D14,"Stockout Risk",IF(Q14&gt;Assumptions!$C$17*D14,"Overstock","Healthy"))</f>
        <v>Stockout Risk</v>
      </c>
      <c r="S14" s="37" t="n">
        <f aca="false">ROUND(FORECAST(MAX(Raw_Sales_Weekly!$E$440:$E$491)+1,Raw_Sales_Weekly!$C$440:$C$491,Raw_Sales_Weekly!$E$440:$E$491),0)</f>
        <v>99</v>
      </c>
      <c r="T14" s="18" t="str">
        <f aca="false">ABC_XYZ_Classification!L11</f>
        <v>X</v>
      </c>
      <c r="U14" s="18" t="str">
        <f aca="false">ABC_XYZ_Classification!H11</f>
        <v>A</v>
      </c>
      <c r="V14" s="18" t="str">
        <f aca="false">IF(AND(P14&gt;$F$5,T14="Z"),"Yes","No")</f>
        <v>No</v>
      </c>
      <c r="W14" s="19" t="n">
        <f aca="false">N14*E14</f>
        <v>4147.45</v>
      </c>
      <c r="X14" s="18" t="str">
        <f aca="false">IF(V14="Yes",COUNTIF($V$9:V14,"Yes"),"")</f>
        <v/>
      </c>
    </row>
    <row r="15" customFormat="false" ht="15" hidden="false" customHeight="true" outlineLevel="0" collapsed="false">
      <c r="A15" s="18" t="s">
        <v>192</v>
      </c>
      <c r="B15" s="31" t="str">
        <f aca="false">ABC_XYZ_Classification!B12</f>
        <v>Electric Motors Item 02 - Electric Motors &amp; Drives</v>
      </c>
      <c r="C15" s="31" t="str">
        <f aca="false">ABC_XYZ_Classification!C12</f>
        <v>Electric Motors &amp; Drives</v>
      </c>
      <c r="D15" s="18" t="n">
        <f aca="false">INDEX(Raw_SKU_Master!$I$2:$I$41,MATCH(A15,Raw_SKU_Master!$A$2:$A$41,0))</f>
        <v>52</v>
      </c>
      <c r="E15" s="30" t="n">
        <f aca="false">INDEX(Raw_SKU_Master!$E$2:$E$41,MATCH(A15,Raw_SKU_Master!$A$2:$A$41,0))</f>
        <v>15.22</v>
      </c>
      <c r="F15" s="36" t="n">
        <f aca="false">ABC_XYZ_Classification!E12/(Assumptions!$C$18*7)</f>
        <v>12.1043956043956</v>
      </c>
      <c r="G15" s="36" t="n">
        <f aca="false">ABC_XYZ_Classification!J12</f>
        <v>30.5623781292638</v>
      </c>
      <c r="H15" s="18" t="n">
        <f aca="false">D15/7</f>
        <v>7.42857142857143</v>
      </c>
      <c r="I15" s="36" t="n">
        <f aca="false">ROUNDUP(Assumptions!$C$6*G15*SQRT(H15),0)</f>
        <v>138</v>
      </c>
      <c r="J15" s="36" t="n">
        <f aca="false">ROUNDUP(F15*D15+I15,0)</f>
        <v>768</v>
      </c>
      <c r="K15" s="36" t="n">
        <f aca="false">ABC_XYZ_Classification!E12</f>
        <v>4406</v>
      </c>
      <c r="L15" s="36" t="n">
        <f aca="false">ROUND(SQRT((2*K15*Assumptions!$C$7)/(E15*Assumptions!$C$8)),0)</f>
        <v>444</v>
      </c>
      <c r="M15" s="36" t="n">
        <f aca="false">ROUNDUP(L15/Assumptions!$C$9,0)*Assumptions!$C$9</f>
        <v>450</v>
      </c>
      <c r="N15" s="36" t="n">
        <f aca="false">AVERAGEIF(Raw_Inventory_Monthly!$A$2:$A$481,A15,Raw_Inventory_Monthly!$C$2:$C$481)</f>
        <v>851.416666666667</v>
      </c>
      <c r="O15" s="36" t="n">
        <f aca="false">AVERAGEIF(Raw_Inventory_Monthly!$A$2:$A$481,A15,Raw_Inventory_Monthly!$G$2:$G$481)</f>
        <v>157.583333333333</v>
      </c>
      <c r="P15" s="36" t="n">
        <f aca="false">IFERROR(N15/F15,0)</f>
        <v>70.3394613405962</v>
      </c>
      <c r="Q15" s="36" t="n">
        <f aca="false">IFERROR((N15+O15)/F15,0)</f>
        <v>83.3581479800272</v>
      </c>
      <c r="R15" s="18" t="str">
        <f aca="false">IF(Q15&lt;Assumptions!$C$16*D15,"Stockout Risk",IF(Q15&gt;Assumptions!$C$17*D15,"Overstock","Healthy"))</f>
        <v>Healthy</v>
      </c>
      <c r="S15" s="37" t="n">
        <f aca="false">ROUND(FORECAST(MAX(Raw_Sales_Weekly!$E$492:$E$512)+1,Raw_Sales_Weekly!$C$492:$C$512,Raw_Sales_Weekly!$E$492:$E$512),0)</f>
        <v>200</v>
      </c>
      <c r="T15" s="18" t="str">
        <f aca="false">ABC_XYZ_Classification!L12</f>
        <v>X</v>
      </c>
      <c r="U15" s="18" t="str">
        <f aca="false">ABC_XYZ_Classification!H12</f>
        <v>A</v>
      </c>
      <c r="V15" s="18" t="str">
        <f aca="false">IF(AND(P15&gt;$F$5,T15="Z"),"Yes","No")</f>
        <v>No</v>
      </c>
      <c r="W15" s="19" t="n">
        <f aca="false">N15*E15</f>
        <v>12958.5616666667</v>
      </c>
      <c r="X15" s="18" t="str">
        <f aca="false">IF(V15="Yes",COUNTIF($V$9:V15,"Yes"),"")</f>
        <v/>
      </c>
    </row>
    <row r="16" customFormat="false" ht="15" hidden="false" customHeight="true" outlineLevel="0" collapsed="false">
      <c r="A16" s="18" t="s">
        <v>197</v>
      </c>
      <c r="B16" s="31" t="str">
        <f aca="false">ABC_XYZ_Classification!B13</f>
        <v>Electric Motors Item 04 - Electric Motors &amp; Drives</v>
      </c>
      <c r="C16" s="31" t="str">
        <f aca="false">ABC_XYZ_Classification!C13</f>
        <v>Electric Motors &amp; Drives</v>
      </c>
      <c r="D16" s="18" t="n">
        <f aca="false">INDEX(Raw_SKU_Master!$I$2:$I$41,MATCH(A16,Raw_SKU_Master!$A$2:$A$41,0))</f>
        <v>44</v>
      </c>
      <c r="E16" s="30" t="n">
        <f aca="false">INDEX(Raw_SKU_Master!$E$2:$E$41,MATCH(A16,Raw_SKU_Master!$A$2:$A$41,0))</f>
        <v>12.69</v>
      </c>
      <c r="F16" s="36" t="n">
        <f aca="false">ABC_XYZ_Classification!E13/(Assumptions!$C$18*7)</f>
        <v>15.793956043956</v>
      </c>
      <c r="G16" s="36" t="n">
        <f aca="false">ABC_XYZ_Classification!J13</f>
        <v>15.5011332855406</v>
      </c>
      <c r="H16" s="18" t="n">
        <f aca="false">D16/7</f>
        <v>6.28571428571429</v>
      </c>
      <c r="I16" s="36" t="n">
        <f aca="false">ROUNDUP(Assumptions!$C$6*G16*SQRT(H16),0)</f>
        <v>65</v>
      </c>
      <c r="J16" s="36" t="n">
        <f aca="false">ROUNDUP(F16*D16+I16,0)</f>
        <v>760</v>
      </c>
      <c r="K16" s="36" t="n">
        <f aca="false">ABC_XYZ_Classification!E13</f>
        <v>5749</v>
      </c>
      <c r="L16" s="36" t="n">
        <f aca="false">ROUND(SQRT((2*K16*Assumptions!$C$7)/(E16*Assumptions!$C$8)),0)</f>
        <v>556</v>
      </c>
      <c r="M16" s="36" t="n">
        <f aca="false">ROUNDUP(L16/Assumptions!$C$9,0)*Assumptions!$C$9</f>
        <v>575</v>
      </c>
      <c r="N16" s="36" t="n">
        <f aca="false">AVERAGEIF(Raw_Inventory_Monthly!$A$2:$A$481,A16,Raw_Inventory_Monthly!$C$2:$C$481)</f>
        <v>345.333333333333</v>
      </c>
      <c r="O16" s="36" t="n">
        <f aca="false">AVERAGEIF(Raw_Inventory_Monthly!$A$2:$A$481,A16,Raw_Inventory_Monthly!$G$2:$G$481)</f>
        <v>62.6666666666667</v>
      </c>
      <c r="P16" s="36" t="n">
        <f aca="false">IFERROR(N16/F16,0)</f>
        <v>21.8649040412825</v>
      </c>
      <c r="Q16" s="36" t="n">
        <f aca="false">IFERROR((N16+O16)/F16,0)</f>
        <v>25.8326665507045</v>
      </c>
      <c r="R16" s="18" t="str">
        <f aca="false">IF(Q16&lt;Assumptions!$C$16*D16,"Stockout Risk",IF(Q16&gt;Assumptions!$C$17*D16,"Overstock","Healthy"))</f>
        <v>Stockout Risk</v>
      </c>
      <c r="S16" s="37" t="n">
        <f aca="false">ROUND(FORECAST(MAX(Raw_Sales_Weekly!$E$563:$E$614)+1,Raw_Sales_Weekly!$C$563:$C$614,Raw_Sales_Weekly!$E$563:$E$614),0)</f>
        <v>108</v>
      </c>
      <c r="T16" s="18" t="str">
        <f aca="false">ABC_XYZ_Classification!L13</f>
        <v>X</v>
      </c>
      <c r="U16" s="18" t="str">
        <f aca="false">ABC_XYZ_Classification!H13</f>
        <v>A</v>
      </c>
      <c r="V16" s="18" t="str">
        <f aca="false">IF(AND(P16&gt;$F$5,T16="Z"),"Yes","No")</f>
        <v>No</v>
      </c>
      <c r="W16" s="19" t="n">
        <f aca="false">N16*E16</f>
        <v>4382.28</v>
      </c>
      <c r="X16" s="18" t="str">
        <f aca="false">IF(V16="Yes",COUNTIF($V$9:V16,"Yes"),"")</f>
        <v/>
      </c>
    </row>
    <row r="17" customFormat="false" ht="15" hidden="false" customHeight="true" outlineLevel="0" collapsed="false">
      <c r="A17" s="18" t="s">
        <v>202</v>
      </c>
      <c r="B17" s="31" t="str">
        <f aca="false">ABC_XYZ_Classification!B14</f>
        <v>Sensors Item 01 - Sensors &amp; Controls</v>
      </c>
      <c r="C17" s="31" t="str">
        <f aca="false">ABC_XYZ_Classification!C14</f>
        <v>Sensors &amp; Controls</v>
      </c>
      <c r="D17" s="18" t="n">
        <f aca="false">INDEX(Raw_SKU_Master!$I$2:$I$41,MATCH(A17,Raw_SKU_Master!$A$2:$A$41,0))</f>
        <v>27</v>
      </c>
      <c r="E17" s="30" t="n">
        <f aca="false">INDEX(Raw_SKU_Master!$E$2:$E$41,MATCH(A17,Raw_SKU_Master!$A$2:$A$41,0))</f>
        <v>5.56</v>
      </c>
      <c r="F17" s="36" t="n">
        <f aca="false">ABC_XYZ_Classification!E14/(Assumptions!$C$18*7)</f>
        <v>26.3873626373626</v>
      </c>
      <c r="G17" s="36" t="n">
        <f aca="false">ABC_XYZ_Classification!J14</f>
        <v>110.242972310198</v>
      </c>
      <c r="H17" s="18" t="n">
        <f aca="false">D17/7</f>
        <v>3.85714285714286</v>
      </c>
      <c r="I17" s="36" t="n">
        <f aca="false">ROUNDUP(Assumptions!$C$6*G17*SQRT(H17),0)</f>
        <v>358</v>
      </c>
      <c r="J17" s="36" t="n">
        <f aca="false">ROUNDUP(F17*D17+I17,0)</f>
        <v>1071</v>
      </c>
      <c r="K17" s="36" t="n">
        <f aca="false">ABC_XYZ_Classification!E14</f>
        <v>9605</v>
      </c>
      <c r="L17" s="36" t="n">
        <f aca="false">ROUND(SQRT((2*K17*Assumptions!$C$7)/(E17*Assumptions!$C$8)),0)</f>
        <v>1085</v>
      </c>
      <c r="M17" s="36" t="n">
        <f aca="false">ROUNDUP(L17/Assumptions!$C$9,0)*Assumptions!$C$9</f>
        <v>1100</v>
      </c>
      <c r="N17" s="36" t="n">
        <f aca="false">AVERAGEIF(Raw_Inventory_Monthly!$A$2:$A$481,A17,Raw_Inventory_Monthly!$C$2:$C$481)</f>
        <v>1398.83333333333</v>
      </c>
      <c r="O17" s="36" t="n">
        <f aca="false">AVERAGEIF(Raw_Inventory_Monthly!$A$2:$A$481,A17,Raw_Inventory_Monthly!$G$2:$G$481)</f>
        <v>154.666666666667</v>
      </c>
      <c r="P17" s="36" t="n">
        <f aca="false">IFERROR(N17/F17,0)</f>
        <v>53.0114870727052</v>
      </c>
      <c r="Q17" s="36" t="n">
        <f aca="false">IFERROR((N17+O17)/F17,0)</f>
        <v>58.8728787090057</v>
      </c>
      <c r="R17" s="18" t="str">
        <f aca="false">IF(Q17&lt;Assumptions!$C$16*D17,"Stockout Risk",IF(Q17&gt;Assumptions!$C$17*D17,"Overstock","Healthy"))</f>
        <v>Healthy</v>
      </c>
      <c r="S17" s="37" t="n">
        <f aca="false">ROUND(FORECAST(MAX(Raw_Sales_Weekly!$E$667:$E$718)+1,Raw_Sales_Weekly!$C$667:$C$718,Raw_Sales_Weekly!$E$667:$E$718),0)</f>
        <v>146</v>
      </c>
      <c r="T17" s="18" t="str">
        <f aca="false">ABC_XYZ_Classification!L14</f>
        <v>Z</v>
      </c>
      <c r="U17" s="18" t="str">
        <f aca="false">ABC_XYZ_Classification!H14</f>
        <v>A</v>
      </c>
      <c r="V17" s="18" t="str">
        <f aca="false">IF(AND(P17&gt;$F$5,T17="Z"),"Yes","No")</f>
        <v>No</v>
      </c>
      <c r="W17" s="19" t="n">
        <f aca="false">N17*E17</f>
        <v>7777.51333333333</v>
      </c>
      <c r="X17" s="18" t="str">
        <f aca="false">IF(V17="Yes",COUNTIF($V$9:V17,"Yes"),"")</f>
        <v/>
      </c>
    </row>
    <row r="18" customFormat="false" ht="15" hidden="false" customHeight="true" outlineLevel="0" collapsed="false">
      <c r="A18" s="18" t="s">
        <v>213</v>
      </c>
      <c r="B18" s="31" t="str">
        <f aca="false">ABC_XYZ_Classification!B15</f>
        <v>Sensors Item 05 - Sensors &amp; Controls</v>
      </c>
      <c r="C18" s="31" t="str">
        <f aca="false">ABC_XYZ_Classification!C15</f>
        <v>Sensors &amp; Controls</v>
      </c>
      <c r="D18" s="18" t="n">
        <f aca="false">INDEX(Raw_SKU_Master!$I$2:$I$41,MATCH(A18,Raw_SKU_Master!$A$2:$A$41,0))</f>
        <v>22</v>
      </c>
      <c r="E18" s="30" t="n">
        <f aca="false">INDEX(Raw_SKU_Master!$E$2:$E$41,MATCH(A18,Raw_SKU_Master!$A$2:$A$41,0))</f>
        <v>3.76</v>
      </c>
      <c r="F18" s="36" t="n">
        <f aca="false">ABC_XYZ_Classification!E15/(Assumptions!$C$18*7)</f>
        <v>32.6483516483517</v>
      </c>
      <c r="G18" s="36" t="n">
        <f aca="false">ABC_XYZ_Classification!J15</f>
        <v>72.0727361069415</v>
      </c>
      <c r="H18" s="18" t="n">
        <f aca="false">D18/7</f>
        <v>3.14285714285714</v>
      </c>
      <c r="I18" s="36" t="n">
        <f aca="false">ROUNDUP(Assumptions!$C$6*G18*SQRT(H18),0)</f>
        <v>211</v>
      </c>
      <c r="J18" s="36" t="n">
        <f aca="false">ROUNDUP(F18*D18+I18,0)</f>
        <v>930</v>
      </c>
      <c r="K18" s="36" t="n">
        <f aca="false">ABC_XYZ_Classification!E15</f>
        <v>11884</v>
      </c>
      <c r="L18" s="36" t="n">
        <f aca="false">ROUND(SQRT((2*K18*Assumptions!$C$7)/(E18*Assumptions!$C$8)),0)</f>
        <v>1468</v>
      </c>
      <c r="M18" s="36" t="n">
        <f aca="false">ROUNDUP(L18/Assumptions!$C$9,0)*Assumptions!$C$9</f>
        <v>1475</v>
      </c>
      <c r="N18" s="36" t="n">
        <f aca="false">AVERAGEIF(Raw_Inventory_Monthly!$A$2:$A$481,A18,Raw_Inventory_Monthly!$C$2:$C$481)</f>
        <v>1682.5</v>
      </c>
      <c r="O18" s="36" t="n">
        <f aca="false">AVERAGEIF(Raw_Inventory_Monthly!$A$2:$A$481,A18,Raw_Inventory_Monthly!$G$2:$G$481)</f>
        <v>156.666666666667</v>
      </c>
      <c r="P18" s="36" t="n">
        <f aca="false">IFERROR(N18/F18,0)</f>
        <v>51.5339952877819</v>
      </c>
      <c r="Q18" s="36" t="n">
        <f aca="false">IFERROR((N18+O18)/F18,0)</f>
        <v>56.3326040614832</v>
      </c>
      <c r="R18" s="18" t="str">
        <f aca="false">IF(Q18&lt;Assumptions!$C$16*D18,"Stockout Risk",IF(Q18&gt;Assumptions!$C$17*D18,"Overstock","Healthy"))</f>
        <v>Healthy</v>
      </c>
      <c r="S18" s="37" t="n">
        <f aca="false">ROUND(FORECAST(MAX(Raw_Sales_Weekly!$E$840:$E$891)+1,Raw_Sales_Weekly!$C$840:$C$891,Raw_Sales_Weekly!$E$840:$E$891),0)</f>
        <v>271</v>
      </c>
      <c r="T18" s="18" t="str">
        <f aca="false">ABC_XYZ_Classification!L15</f>
        <v>Y</v>
      </c>
      <c r="U18" s="18" t="str">
        <f aca="false">ABC_XYZ_Classification!H15</f>
        <v>A</v>
      </c>
      <c r="V18" s="18" t="str">
        <f aca="false">IF(AND(P18&gt;$F$5,T18="Z"),"Yes","No")</f>
        <v>No</v>
      </c>
      <c r="W18" s="19" t="n">
        <f aca="false">N18*E18</f>
        <v>6326.2</v>
      </c>
      <c r="X18" s="18" t="str">
        <f aca="false">IF(V18="Yes",COUNTIF($V$9:V18,"Yes"),"")</f>
        <v/>
      </c>
    </row>
    <row r="19" customFormat="false" ht="15" hidden="false" customHeight="true" outlineLevel="0" collapsed="false">
      <c r="A19" s="18" t="s">
        <v>251</v>
      </c>
      <c r="B19" s="31" t="str">
        <f aca="false">ABC_XYZ_Classification!B16</f>
        <v>Raw Material Item 05 - Raw Material - Metal Stock</v>
      </c>
      <c r="C19" s="31" t="str">
        <f aca="false">ABC_XYZ_Classification!C16</f>
        <v>Raw Material - Metal Stock</v>
      </c>
      <c r="D19" s="18" t="n">
        <f aca="false">INDEX(Raw_SKU_Master!$I$2:$I$41,MATCH(A19,Raw_SKU_Master!$A$2:$A$41,0))</f>
        <v>57</v>
      </c>
      <c r="E19" s="30" t="n">
        <f aca="false">INDEX(Raw_SKU_Master!$E$2:$E$41,MATCH(A19,Raw_SKU_Master!$A$2:$A$41,0))</f>
        <v>31.12</v>
      </c>
      <c r="F19" s="36" t="n">
        <f aca="false">ABC_XYZ_Classification!E16/(Assumptions!$C$18*7)</f>
        <v>6.50549450549451</v>
      </c>
      <c r="G19" s="36" t="n">
        <f aca="false">ABC_XYZ_Classification!J16</f>
        <v>6.31987566352115</v>
      </c>
      <c r="H19" s="18" t="n">
        <f aca="false">D19/7</f>
        <v>8.14285714285714</v>
      </c>
      <c r="I19" s="36" t="n">
        <f aca="false">ROUNDUP(Assumptions!$C$6*G19*SQRT(H19),0)</f>
        <v>30</v>
      </c>
      <c r="J19" s="36" t="n">
        <f aca="false">ROUNDUP(F19*D19+I19,0)</f>
        <v>401</v>
      </c>
      <c r="K19" s="36" t="n">
        <f aca="false">ABC_XYZ_Classification!E16</f>
        <v>2368</v>
      </c>
      <c r="L19" s="36" t="n">
        <f aca="false">ROUND(SQRT((2*K19*Assumptions!$C$7)/(E19*Assumptions!$C$8)),0)</f>
        <v>228</v>
      </c>
      <c r="M19" s="36" t="n">
        <f aca="false">ROUNDUP(L19/Assumptions!$C$9,0)*Assumptions!$C$9</f>
        <v>250</v>
      </c>
      <c r="N19" s="36" t="n">
        <f aca="false">AVERAGEIF(Raw_Inventory_Monthly!$A$2:$A$481,A19,Raw_Inventory_Monthly!$C$2:$C$481)</f>
        <v>61</v>
      </c>
      <c r="O19" s="36" t="n">
        <f aca="false">AVERAGEIF(Raw_Inventory_Monthly!$A$2:$A$481,A19,Raw_Inventory_Monthly!$G$2:$G$481)</f>
        <v>33.5</v>
      </c>
      <c r="P19" s="36" t="n">
        <f aca="false">IFERROR(N19/F19,0)</f>
        <v>9.37668918918919</v>
      </c>
      <c r="Q19" s="36" t="n">
        <f aca="false">IFERROR((N19+O19)/F19,0)</f>
        <v>14.5261824324324</v>
      </c>
      <c r="R19" s="18" t="str">
        <f aca="false">IF(Q19&lt;Assumptions!$C$16*D19,"Stockout Risk",IF(Q19&gt;Assumptions!$C$17*D19,"Overstock","Healthy"))</f>
        <v>Stockout Risk</v>
      </c>
      <c r="S19" s="37" t="n">
        <f aca="false">ROUND(FORECAST(MAX(Raw_Sales_Weekly!$E$1534:$E$1585)+1,Raw_Sales_Weekly!$C$1534:$C$1585,Raw_Sales_Weekly!$E$1534:$E$1585),0)</f>
        <v>45</v>
      </c>
      <c r="T19" s="18" t="str">
        <f aca="false">ABC_XYZ_Classification!L16</f>
        <v>X</v>
      </c>
      <c r="U19" s="18" t="str">
        <f aca="false">ABC_XYZ_Classification!H16</f>
        <v>A</v>
      </c>
      <c r="V19" s="18" t="str">
        <f aca="false">IF(AND(P19&gt;$F$5,T19="Z"),"Yes","No")</f>
        <v>No</v>
      </c>
      <c r="W19" s="19" t="n">
        <f aca="false">N19*E19</f>
        <v>1898.32</v>
      </c>
      <c r="X19" s="18" t="str">
        <f aca="false">IF(V19="Yes",COUNTIF($V$9:V19,"Yes"),"")</f>
        <v/>
      </c>
    </row>
    <row r="20" customFormat="false" ht="15" hidden="false" customHeight="true" outlineLevel="0" collapsed="false">
      <c r="A20" s="18" t="s">
        <v>210</v>
      </c>
      <c r="B20" s="31" t="str">
        <f aca="false">ABC_XYZ_Classification!B17</f>
        <v>Sensors Item 04 - Sensors &amp; Controls</v>
      </c>
      <c r="C20" s="31" t="str">
        <f aca="false">ABC_XYZ_Classification!C17</f>
        <v>Sensors &amp; Controls</v>
      </c>
      <c r="D20" s="18" t="n">
        <f aca="false">INDEX(Raw_SKU_Master!$I$2:$I$41,MATCH(A20,Raw_SKU_Master!$A$2:$A$41,0))</f>
        <v>25</v>
      </c>
      <c r="E20" s="30" t="n">
        <f aca="false">INDEX(Raw_SKU_Master!$E$2:$E$41,MATCH(A20,Raw_SKU_Master!$A$2:$A$41,0))</f>
        <v>4.34</v>
      </c>
      <c r="F20" s="36" t="n">
        <f aca="false">ABC_XYZ_Classification!E17/(Assumptions!$C$18*7)</f>
        <v>25.8021978021978</v>
      </c>
      <c r="G20" s="36" t="n">
        <f aca="false">ABC_XYZ_Classification!J17</f>
        <v>55.4672993913995</v>
      </c>
      <c r="H20" s="18" t="n">
        <f aca="false">D20/7</f>
        <v>3.57142857142857</v>
      </c>
      <c r="I20" s="36" t="n">
        <f aca="false">ROUNDUP(Assumptions!$C$6*G20*SQRT(H20),0)</f>
        <v>173</v>
      </c>
      <c r="J20" s="36" t="n">
        <f aca="false">ROUNDUP(F20*D20+I20,0)</f>
        <v>819</v>
      </c>
      <c r="K20" s="36" t="n">
        <f aca="false">ABC_XYZ_Classification!E17</f>
        <v>9392</v>
      </c>
      <c r="L20" s="36" t="n">
        <f aca="false">ROUND(SQRT((2*K20*Assumptions!$C$7)/(E20*Assumptions!$C$8)),0)</f>
        <v>1215</v>
      </c>
      <c r="M20" s="36" t="n">
        <f aca="false">ROUNDUP(L20/Assumptions!$C$9,0)*Assumptions!$C$9</f>
        <v>1225</v>
      </c>
      <c r="N20" s="36" t="n">
        <f aca="false">AVERAGEIF(Raw_Inventory_Monthly!$A$2:$A$481,A20,Raw_Inventory_Monthly!$C$2:$C$481)</f>
        <v>866.166666666667</v>
      </c>
      <c r="O20" s="36" t="n">
        <f aca="false">AVERAGEIF(Raw_Inventory_Monthly!$A$2:$A$481,A20,Raw_Inventory_Monthly!$G$2:$G$481)</f>
        <v>166.25</v>
      </c>
      <c r="P20" s="36" t="n">
        <f aca="false">IFERROR(N20/F20,0)</f>
        <v>33.569491766042</v>
      </c>
      <c r="Q20" s="36" t="n">
        <f aca="false">IFERROR((N20+O20)/F20,0)</f>
        <v>40.0127413401476</v>
      </c>
      <c r="R20" s="18" t="str">
        <f aca="false">IF(Q20&lt;Assumptions!$C$16*D20,"Stockout Risk",IF(Q20&gt;Assumptions!$C$17*D20,"Overstock","Healthy"))</f>
        <v>Healthy</v>
      </c>
      <c r="S20" s="37" t="n">
        <f aca="false">ROUND(FORECAST(MAX(Raw_Sales_Weekly!$E$788:$E$839)+1,Raw_Sales_Weekly!$C$788:$C$839,Raw_Sales_Weekly!$E$788:$E$839),0)</f>
        <v>170</v>
      </c>
      <c r="T20" s="18" t="str">
        <f aca="false">ABC_XYZ_Classification!L17</f>
        <v>Y</v>
      </c>
      <c r="U20" s="18" t="str">
        <f aca="false">ABC_XYZ_Classification!H17</f>
        <v>A</v>
      </c>
      <c r="V20" s="18" t="str">
        <f aca="false">IF(AND(P20&gt;$F$5,T20="Z"),"Yes","No")</f>
        <v>No</v>
      </c>
      <c r="W20" s="19" t="n">
        <f aca="false">N20*E20</f>
        <v>3759.16333333333</v>
      </c>
      <c r="X20" s="18" t="str">
        <f aca="false">IF(V20="Yes",COUNTIF($V$9:V20,"Yes"),"")</f>
        <v/>
      </c>
    </row>
    <row r="21" customFormat="false" ht="15" hidden="false" customHeight="true" outlineLevel="0" collapsed="false">
      <c r="A21" s="18" t="s">
        <v>232</v>
      </c>
      <c r="B21" s="31" t="str">
        <f aca="false">ABC_XYZ_Classification!B18</f>
        <v>Pneumatic Components Item 02 - Pneumatic Components</v>
      </c>
      <c r="C21" s="31" t="str">
        <f aca="false">ABC_XYZ_Classification!C18</f>
        <v>Pneumatic Components</v>
      </c>
      <c r="D21" s="18" t="n">
        <f aca="false">INDEX(Raw_SKU_Master!$I$2:$I$41,MATCH(A21,Raw_SKU_Master!$A$2:$A$41,0))</f>
        <v>51</v>
      </c>
      <c r="E21" s="30" t="n">
        <f aca="false">INDEX(Raw_SKU_Master!$E$2:$E$41,MATCH(A21,Raw_SKU_Master!$A$2:$A$41,0))</f>
        <v>12.21</v>
      </c>
      <c r="F21" s="36" t="n">
        <f aca="false">ABC_XYZ_Classification!E18/(Assumptions!$C$18*7)</f>
        <v>9.86538461538462</v>
      </c>
      <c r="G21" s="36" t="n">
        <f aca="false">ABC_XYZ_Classification!J18</f>
        <v>24.6766889855576</v>
      </c>
      <c r="H21" s="18" t="n">
        <f aca="false">D21/7</f>
        <v>7.28571428571429</v>
      </c>
      <c r="I21" s="36" t="n">
        <f aca="false">ROUNDUP(Assumptions!$C$6*G21*SQRT(H21),0)</f>
        <v>110</v>
      </c>
      <c r="J21" s="36" t="n">
        <f aca="false">ROUNDUP(F21*D21+I21,0)</f>
        <v>614</v>
      </c>
      <c r="K21" s="36" t="n">
        <f aca="false">ABC_XYZ_Classification!E18</f>
        <v>3591</v>
      </c>
      <c r="L21" s="36" t="n">
        <f aca="false">ROUND(SQRT((2*K21*Assumptions!$C$7)/(E21*Assumptions!$C$8)),0)</f>
        <v>448</v>
      </c>
      <c r="M21" s="36" t="n">
        <f aca="false">ROUNDUP(L21/Assumptions!$C$9,0)*Assumptions!$C$9</f>
        <v>450</v>
      </c>
      <c r="N21" s="36" t="n">
        <f aca="false">AVERAGEIF(Raw_Inventory_Monthly!$A$2:$A$481,A21,Raw_Inventory_Monthly!$C$2:$C$481)</f>
        <v>430.25</v>
      </c>
      <c r="O21" s="36" t="n">
        <f aca="false">AVERAGEIF(Raw_Inventory_Monthly!$A$2:$A$481,A21,Raw_Inventory_Monthly!$G$2:$G$481)</f>
        <v>61.5833333333333</v>
      </c>
      <c r="P21" s="36" t="n">
        <f aca="false">IFERROR(N21/F21,0)</f>
        <v>43.6120857699805</v>
      </c>
      <c r="Q21" s="36" t="n">
        <f aca="false">IFERROR((N21+O21)/F21,0)</f>
        <v>49.8544509421702</v>
      </c>
      <c r="R21" s="18" t="str">
        <f aca="false">IF(Q21&lt;Assumptions!$C$16*D21,"Stockout Risk",IF(Q21&gt;Assumptions!$C$17*D21,"Overstock","Healthy"))</f>
        <v>Stockout Risk</v>
      </c>
      <c r="S21" s="37" t="n">
        <f aca="false">ROUND(FORECAST(MAX(Raw_Sales_Weekly!$E$1202:$E$1253)+1,Raw_Sales_Weekly!$C$1202:$C$1253,Raw_Sales_Weekly!$E$1202:$E$1253),0)</f>
        <v>56</v>
      </c>
      <c r="T21" s="18" t="str">
        <f aca="false">ABC_XYZ_Classification!L18</f>
        <v>Y</v>
      </c>
      <c r="U21" s="18" t="str">
        <f aca="false">ABC_XYZ_Classification!H18</f>
        <v>A</v>
      </c>
      <c r="V21" s="18" t="str">
        <f aca="false">IF(AND(P21&gt;$F$5,T21="Z"),"Yes","No")</f>
        <v>No</v>
      </c>
      <c r="W21" s="19" t="n">
        <f aca="false">N21*E21</f>
        <v>5253.3525</v>
      </c>
      <c r="X21" s="18" t="str">
        <f aca="false">IF(V21="Yes",COUNTIF($V$9:V21,"Yes"),"")</f>
        <v/>
      </c>
    </row>
    <row r="22" customFormat="false" ht="15" hidden="false" customHeight="true" outlineLevel="0" collapsed="false">
      <c r="A22" s="18" t="s">
        <v>185</v>
      </c>
      <c r="B22" s="31" t="str">
        <f aca="false">ABC_XYZ_Classification!B19</f>
        <v>Bearings Item 05 - Bearings &amp; Bushings</v>
      </c>
      <c r="C22" s="31" t="str">
        <f aca="false">ABC_XYZ_Classification!C19</f>
        <v>Bearings &amp; Bushings</v>
      </c>
      <c r="D22" s="18" t="n">
        <f aca="false">INDEX(Raw_SKU_Master!$I$2:$I$41,MATCH(A22,Raw_SKU_Master!$A$2:$A$41,0))</f>
        <v>141</v>
      </c>
      <c r="E22" s="30" t="n">
        <f aca="false">INDEX(Raw_SKU_Master!$E$2:$E$41,MATCH(A22,Raw_SKU_Master!$A$2:$A$41,0))</f>
        <v>5.45</v>
      </c>
      <c r="F22" s="36" t="n">
        <f aca="false">ABC_XYZ_Classification!E19/(Assumptions!$C$18*7)</f>
        <v>25.0467032967033</v>
      </c>
      <c r="G22" s="36" t="n">
        <f aca="false">ABC_XYZ_Classification!J19</f>
        <v>37.5037029729918</v>
      </c>
      <c r="H22" s="18" t="n">
        <f aca="false">D22/7</f>
        <v>20.1428571428571</v>
      </c>
      <c r="I22" s="36" t="n">
        <f aca="false">ROUNDUP(Assumptions!$C$6*G22*SQRT(H22),0)</f>
        <v>278</v>
      </c>
      <c r="J22" s="36" t="n">
        <f aca="false">ROUNDUP(F22*D22+I22,0)</f>
        <v>3810</v>
      </c>
      <c r="K22" s="36" t="n">
        <f aca="false">ABC_XYZ_Classification!E19</f>
        <v>9117</v>
      </c>
      <c r="L22" s="36" t="n">
        <f aca="false">ROUND(SQRT((2*K22*Assumptions!$C$7)/(E22*Assumptions!$C$8)),0)</f>
        <v>1068</v>
      </c>
      <c r="M22" s="36" t="n">
        <f aca="false">ROUNDUP(L22/Assumptions!$C$9,0)*Assumptions!$C$9</f>
        <v>1075</v>
      </c>
      <c r="N22" s="36" t="n">
        <f aca="false">AVERAGEIF(Raw_Inventory_Monthly!$A$2:$A$481,A22,Raw_Inventory_Monthly!$C$2:$C$481)</f>
        <v>293</v>
      </c>
      <c r="O22" s="36" t="n">
        <f aca="false">AVERAGEIF(Raw_Inventory_Monthly!$A$2:$A$481,A22,Raw_Inventory_Monthly!$G$2:$G$481)</f>
        <v>184.166666666667</v>
      </c>
      <c r="P22" s="36" t="n">
        <f aca="false">IFERROR(N22/F22,0)</f>
        <v>11.6981463200614</v>
      </c>
      <c r="Q22" s="36" t="n">
        <f aca="false">IFERROR((N22+O22)/F22,0)</f>
        <v>19.0510767430807</v>
      </c>
      <c r="R22" s="18" t="str">
        <f aca="false">IF(Q22&lt;Assumptions!$C$16*D22,"Stockout Risk",IF(Q22&gt;Assumptions!$C$17*D22,"Overstock","Healthy"))</f>
        <v>Stockout Risk</v>
      </c>
      <c r="S22" s="37" t="n">
        <f aca="false">ROUND(FORECAST(MAX(Raw_Sales_Weekly!$E$388:$E$439)+1,Raw_Sales_Weekly!$C$388:$C$439,Raw_Sales_Weekly!$E$388:$E$439),0)</f>
        <v>151</v>
      </c>
      <c r="T22" s="18" t="str">
        <f aca="false">ABC_XYZ_Classification!L19</f>
        <v>X</v>
      </c>
      <c r="U22" s="18" t="str">
        <f aca="false">ABC_XYZ_Classification!H19</f>
        <v>A</v>
      </c>
      <c r="V22" s="18" t="str">
        <f aca="false">IF(AND(P22&gt;$F$5,T22="Z"),"Yes","No")</f>
        <v>No</v>
      </c>
      <c r="W22" s="19" t="n">
        <f aca="false">N22*E22</f>
        <v>1596.85</v>
      </c>
      <c r="X22" s="18" t="str">
        <f aca="false">IF(V22="Yes",COUNTIF($V$9:V22,"Yes"),"")</f>
        <v/>
      </c>
    </row>
    <row r="23" customFormat="false" ht="15" hidden="false" customHeight="true" outlineLevel="0" collapsed="false">
      <c r="A23" s="18" t="s">
        <v>195</v>
      </c>
      <c r="B23" s="31" t="str">
        <f aca="false">ABC_XYZ_Classification!B20</f>
        <v>Electric Motors Item 03 - Electric Motors &amp; Drives</v>
      </c>
      <c r="C23" s="31" t="str">
        <f aca="false">ABC_XYZ_Classification!C20</f>
        <v>Electric Motors &amp; Drives</v>
      </c>
      <c r="D23" s="18" t="n">
        <f aca="false">INDEX(Raw_SKU_Master!$I$2:$I$41,MATCH(A23,Raw_SKU_Master!$A$2:$A$41,0))</f>
        <v>39</v>
      </c>
      <c r="E23" s="30" t="n">
        <f aca="false">INDEX(Raw_SKU_Master!$E$2:$E$41,MATCH(A23,Raw_SKU_Master!$A$2:$A$41,0))</f>
        <v>17.6</v>
      </c>
      <c r="F23" s="36" t="n">
        <f aca="false">ABC_XYZ_Classification!E20/(Assumptions!$C$18*7)</f>
        <v>5.83516483516484</v>
      </c>
      <c r="G23" s="36" t="n">
        <f aca="false">ABC_XYZ_Classification!J20</f>
        <v>22.7633389466484</v>
      </c>
      <c r="H23" s="18" t="n">
        <f aca="false">D23/7</f>
        <v>5.57142857142857</v>
      </c>
      <c r="I23" s="36" t="n">
        <f aca="false">ROUNDUP(Assumptions!$C$6*G23*SQRT(H23),0)</f>
        <v>89</v>
      </c>
      <c r="J23" s="36" t="n">
        <f aca="false">ROUNDUP(F23*D23+I23,0)</f>
        <v>317</v>
      </c>
      <c r="K23" s="36" t="n">
        <f aca="false">ABC_XYZ_Classification!E20</f>
        <v>2124</v>
      </c>
      <c r="L23" s="36" t="n">
        <f aca="false">ROUND(SQRT((2*K23*Assumptions!$C$7)/(E23*Assumptions!$C$8)),0)</f>
        <v>287</v>
      </c>
      <c r="M23" s="36" t="n">
        <f aca="false">ROUNDUP(L23/Assumptions!$C$9,0)*Assumptions!$C$9</f>
        <v>300</v>
      </c>
      <c r="N23" s="36" t="n">
        <f aca="false">AVERAGEIF(Raw_Inventory_Monthly!$A$2:$A$481,A23,Raw_Inventory_Monthly!$C$2:$C$481)</f>
        <v>289.666666666667</v>
      </c>
      <c r="O23" s="36" t="n">
        <f aca="false">AVERAGEIF(Raw_Inventory_Monthly!$A$2:$A$481,A23,Raw_Inventory_Monthly!$G$2:$G$481)</f>
        <v>31.0833333333333</v>
      </c>
      <c r="P23" s="36" t="n">
        <f aca="false">IFERROR(N23/F23,0)</f>
        <v>49.6415568110483</v>
      </c>
      <c r="Q23" s="36" t="n">
        <f aca="false">IFERROR((N23+O23)/F23,0)</f>
        <v>54.9684557438795</v>
      </c>
      <c r="R23" s="18" t="str">
        <f aca="false">IF(Q23&lt;Assumptions!$C$16*D23,"Stockout Risk",IF(Q23&gt;Assumptions!$C$17*D23,"Overstock","Healthy"))</f>
        <v>Healthy</v>
      </c>
      <c r="S23" s="37" t="n">
        <f aca="false">ROUND(FORECAST(MAX(Raw_Sales_Weekly!$E$513:$E$562)+1,Raw_Sales_Weekly!$C$513:$C$562,Raw_Sales_Weekly!$E$513:$E$562),0)</f>
        <v>31</v>
      </c>
      <c r="T23" s="18" t="str">
        <f aca="false">ABC_XYZ_Classification!L20</f>
        <v>Y</v>
      </c>
      <c r="U23" s="18" t="str">
        <f aca="false">ABC_XYZ_Classification!H20</f>
        <v>A</v>
      </c>
      <c r="V23" s="18" t="str">
        <f aca="false">IF(AND(P23&gt;$F$5,T23="Z"),"Yes","No")</f>
        <v>No</v>
      </c>
      <c r="W23" s="19" t="n">
        <f aca="false">N23*E23</f>
        <v>5098.13333333333</v>
      </c>
      <c r="X23" s="18" t="str">
        <f aca="false">IF(V23="Yes",COUNTIF($V$9:V23,"Yes"),"")</f>
        <v/>
      </c>
    </row>
    <row r="24" customFormat="false" ht="15" hidden="false" customHeight="true" outlineLevel="0" collapsed="false">
      <c r="A24" s="18" t="s">
        <v>234</v>
      </c>
      <c r="B24" s="31" t="str">
        <f aca="false">ABC_XYZ_Classification!B21</f>
        <v>Pneumatic Components Item 03 - Pneumatic Components</v>
      </c>
      <c r="C24" s="31" t="str">
        <f aca="false">ABC_XYZ_Classification!C21</f>
        <v>Pneumatic Components</v>
      </c>
      <c r="D24" s="18" t="n">
        <f aca="false">INDEX(Raw_SKU_Master!$I$2:$I$41,MATCH(A24,Raw_SKU_Master!$A$2:$A$41,0))</f>
        <v>57</v>
      </c>
      <c r="E24" s="30" t="n">
        <f aca="false">INDEX(Raw_SKU_Master!$E$2:$E$41,MATCH(A24,Raw_SKU_Master!$A$2:$A$41,0))</f>
        <v>7.11</v>
      </c>
      <c r="F24" s="36" t="n">
        <f aca="false">ABC_XYZ_Classification!E21/(Assumptions!$C$18*7)</f>
        <v>14.8296703296703</v>
      </c>
      <c r="G24" s="36" t="n">
        <f aca="false">ABC_XYZ_Classification!J21</f>
        <v>63.9995013917525</v>
      </c>
      <c r="H24" s="18" t="n">
        <f aca="false">D24/7</f>
        <v>8.14285714285714</v>
      </c>
      <c r="I24" s="36" t="n">
        <f aca="false">ROUNDUP(Assumptions!$C$6*G24*SQRT(H24),0)</f>
        <v>302</v>
      </c>
      <c r="J24" s="36" t="n">
        <f aca="false">ROUNDUP(F24*D24+I24,0)</f>
        <v>1148</v>
      </c>
      <c r="K24" s="36" t="n">
        <f aca="false">ABC_XYZ_Classification!E21</f>
        <v>5398</v>
      </c>
      <c r="L24" s="36" t="n">
        <f aca="false">ROUND(SQRT((2*K24*Assumptions!$C$7)/(E24*Assumptions!$C$8)),0)</f>
        <v>719</v>
      </c>
      <c r="M24" s="36" t="n">
        <f aca="false">ROUNDUP(L24/Assumptions!$C$9,0)*Assumptions!$C$9</f>
        <v>725</v>
      </c>
      <c r="N24" s="36" t="n">
        <f aca="false">AVERAGEIF(Raw_Inventory_Monthly!$A$2:$A$481,A24,Raw_Inventory_Monthly!$C$2:$C$481)</f>
        <v>363.916666666667</v>
      </c>
      <c r="O24" s="36" t="n">
        <f aca="false">AVERAGEIF(Raw_Inventory_Monthly!$A$2:$A$481,A24,Raw_Inventory_Monthly!$G$2:$G$481)</f>
        <v>78.8333333333333</v>
      </c>
      <c r="P24" s="36" t="n">
        <f aca="false">IFERROR(N24/F24,0)</f>
        <v>24.5397678152402</v>
      </c>
      <c r="Q24" s="36" t="n">
        <f aca="false">IFERROR((N24+O24)/F24,0)</f>
        <v>29.8556872915895</v>
      </c>
      <c r="R24" s="18" t="str">
        <f aca="false">IF(Q24&lt;Assumptions!$C$16*D24,"Stockout Risk",IF(Q24&gt;Assumptions!$C$17*D24,"Overstock","Healthy"))</f>
        <v>Stockout Risk</v>
      </c>
      <c r="S24" s="37" t="n">
        <f aca="false">ROUND(FORECAST(MAX(Raw_Sales_Weekly!$E$1254:$E$1304)+1,Raw_Sales_Weekly!$C$1254:$C$1304,Raw_Sales_Weekly!$E$1254:$E$1304),0)</f>
        <v>117</v>
      </c>
      <c r="T24" s="18" t="str">
        <f aca="false">ABC_XYZ_Classification!L21</f>
        <v>Z</v>
      </c>
      <c r="U24" s="18" t="str">
        <f aca="false">ABC_XYZ_Classification!H21</f>
        <v>B</v>
      </c>
      <c r="V24" s="18" t="str">
        <f aca="false">IF(AND(P24&gt;$F$5,T24="Z"),"Yes","No")</f>
        <v>No</v>
      </c>
      <c r="W24" s="19" t="n">
        <f aca="false">N24*E24</f>
        <v>2587.4475</v>
      </c>
      <c r="X24" s="18" t="str">
        <f aca="false">IF(V24="Yes",COUNTIF($V$9:V24,"Yes"),"")</f>
        <v/>
      </c>
    </row>
    <row r="25" customFormat="false" ht="15" hidden="false" customHeight="true" outlineLevel="0" collapsed="false">
      <c r="A25" s="18" t="s">
        <v>171</v>
      </c>
      <c r="B25" s="31" t="str">
        <f aca="false">ABC_XYZ_Classification!B22</f>
        <v>Fasteners Item 05 - Fasteners &amp; Hardware</v>
      </c>
      <c r="C25" s="31" t="str">
        <f aca="false">ABC_XYZ_Classification!C22</f>
        <v>Fasteners &amp; Hardware</v>
      </c>
      <c r="D25" s="18" t="n">
        <f aca="false">INDEX(Raw_SKU_Master!$I$2:$I$41,MATCH(A25,Raw_SKU_Master!$A$2:$A$41,0))</f>
        <v>49</v>
      </c>
      <c r="E25" s="30" t="n">
        <f aca="false">INDEX(Raw_SKU_Master!$E$2:$E$41,MATCH(A25,Raw_SKU_Master!$A$2:$A$41,0))</f>
        <v>3.55</v>
      </c>
      <c r="F25" s="36" t="n">
        <f aca="false">ABC_XYZ_Classification!E22/(Assumptions!$C$18*7)</f>
        <v>25.2252747252747</v>
      </c>
      <c r="G25" s="36" t="n">
        <f aca="false">ABC_XYZ_Classification!J22</f>
        <v>34.4094945270846</v>
      </c>
      <c r="H25" s="18" t="n">
        <f aca="false">D25/7</f>
        <v>7</v>
      </c>
      <c r="I25" s="36" t="n">
        <f aca="false">ROUNDUP(Assumptions!$C$6*G25*SQRT(H25),0)</f>
        <v>151</v>
      </c>
      <c r="J25" s="36" t="n">
        <f aca="false">ROUNDUP(F25*D25+I25,0)</f>
        <v>1388</v>
      </c>
      <c r="K25" s="36" t="n">
        <f aca="false">ABC_XYZ_Classification!E22</f>
        <v>9182</v>
      </c>
      <c r="L25" s="36" t="n">
        <f aca="false">ROUND(SQRT((2*K25*Assumptions!$C$7)/(E25*Assumptions!$C$8)),0)</f>
        <v>1328</v>
      </c>
      <c r="M25" s="36" t="n">
        <f aca="false">ROUNDUP(L25/Assumptions!$C$9,0)*Assumptions!$C$9</f>
        <v>1350</v>
      </c>
      <c r="N25" s="36" t="n">
        <f aca="false">AVERAGEIF(Raw_Inventory_Monthly!$A$2:$A$481,A25,Raw_Inventory_Monthly!$C$2:$C$481)</f>
        <v>694.833333333333</v>
      </c>
      <c r="O25" s="36" t="n">
        <f aca="false">AVERAGEIF(Raw_Inventory_Monthly!$A$2:$A$481,A25,Raw_Inventory_Monthly!$G$2:$G$481)</f>
        <v>170.25</v>
      </c>
      <c r="P25" s="36" t="n">
        <f aca="false">IFERROR(N25/F25,0)</f>
        <v>27.5451245189864</v>
      </c>
      <c r="Q25" s="36" t="n">
        <f aca="false">IFERROR((N25+O25)/F25,0)</f>
        <v>34.2943077034778</v>
      </c>
      <c r="R25" s="18" t="str">
        <f aca="false">IF(Q25&lt;Assumptions!$C$16*D25,"Stockout Risk",IF(Q25&gt;Assumptions!$C$17*D25,"Overstock","Healthy"))</f>
        <v>Stockout Risk</v>
      </c>
      <c r="S25" s="37" t="n">
        <f aca="false">ROUND(FORECAST(MAX(Raw_Sales_Weekly!$E$170:$E$221)+1,Raw_Sales_Weekly!$C$170:$C$221,Raw_Sales_Weekly!$E$170:$E$221),0)</f>
        <v>154</v>
      </c>
      <c r="T25" s="18" t="str">
        <f aca="false">ABC_XYZ_Classification!L22</f>
        <v>X</v>
      </c>
      <c r="U25" s="18" t="str">
        <f aca="false">ABC_XYZ_Classification!H22</f>
        <v>B</v>
      </c>
      <c r="V25" s="18" t="str">
        <f aca="false">IF(AND(P25&gt;$F$5,T25="Z"),"Yes","No")</f>
        <v>No</v>
      </c>
      <c r="W25" s="19" t="n">
        <f aca="false">N25*E25</f>
        <v>2466.65833333333</v>
      </c>
      <c r="X25" s="18" t="str">
        <f aca="false">IF(V25="Yes",COUNTIF($V$9:V25,"Yes"),"")</f>
        <v/>
      </c>
    </row>
    <row r="26" customFormat="false" ht="15" hidden="false" customHeight="true" outlineLevel="0" collapsed="false">
      <c r="A26" s="18" t="s">
        <v>206</v>
      </c>
      <c r="B26" s="31" t="str">
        <f aca="false">ABC_XYZ_Classification!B23</f>
        <v>Sensors Item 02 - Sensors &amp; Controls</v>
      </c>
      <c r="C26" s="31" t="str">
        <f aca="false">ABC_XYZ_Classification!C23</f>
        <v>Sensors &amp; Controls</v>
      </c>
      <c r="D26" s="18" t="n">
        <f aca="false">INDEX(Raw_SKU_Master!$I$2:$I$41,MATCH(A26,Raw_SKU_Master!$A$2:$A$41,0))</f>
        <v>30</v>
      </c>
      <c r="E26" s="30" t="n">
        <f aca="false">INDEX(Raw_SKU_Master!$E$2:$E$41,MATCH(A26,Raw_SKU_Master!$A$2:$A$41,0))</f>
        <v>4.87</v>
      </c>
      <c r="F26" s="36" t="n">
        <f aca="false">ABC_XYZ_Classification!E23/(Assumptions!$C$18*7)</f>
        <v>13.8131868131868</v>
      </c>
      <c r="G26" s="36" t="n">
        <f aca="false">ABC_XYZ_Classification!J23</f>
        <v>29.5475747160005</v>
      </c>
      <c r="H26" s="18" t="n">
        <f aca="false">D26/7</f>
        <v>4.28571428571429</v>
      </c>
      <c r="I26" s="36" t="n">
        <f aca="false">ROUNDUP(Assumptions!$C$6*G26*SQRT(H26),0)</f>
        <v>101</v>
      </c>
      <c r="J26" s="36" t="n">
        <f aca="false">ROUNDUP(F26*D26+I26,0)</f>
        <v>516</v>
      </c>
      <c r="K26" s="36" t="n">
        <f aca="false">ABC_XYZ_Classification!E23</f>
        <v>5028</v>
      </c>
      <c r="L26" s="36" t="n">
        <f aca="false">ROUND(SQRT((2*K26*Assumptions!$C$7)/(E26*Assumptions!$C$8)),0)</f>
        <v>839</v>
      </c>
      <c r="M26" s="36" t="n">
        <f aca="false">ROUNDUP(L26/Assumptions!$C$9,0)*Assumptions!$C$9</f>
        <v>850</v>
      </c>
      <c r="N26" s="36" t="n">
        <f aca="false">AVERAGEIF(Raw_Inventory_Monthly!$A$2:$A$481,A26,Raw_Inventory_Monthly!$C$2:$C$481)</f>
        <v>406.333333333333</v>
      </c>
      <c r="O26" s="36" t="n">
        <f aca="false">AVERAGEIF(Raw_Inventory_Monthly!$A$2:$A$481,A26,Raw_Inventory_Monthly!$G$2:$G$481)</f>
        <v>74.1666666666667</v>
      </c>
      <c r="P26" s="36" t="n">
        <f aca="false">IFERROR(N26/F26,0)</f>
        <v>29.4163351896049</v>
      </c>
      <c r="Q26" s="36" t="n">
        <f aca="false">IFERROR((N26+O26)/F26,0)</f>
        <v>34.785600636436</v>
      </c>
      <c r="R26" s="18" t="str">
        <f aca="false">IF(Q26&lt;Assumptions!$C$16*D26,"Stockout Risk",IF(Q26&gt;Assumptions!$C$17*D26,"Overstock","Healthy"))</f>
        <v>Healthy</v>
      </c>
      <c r="S26" s="37" t="n">
        <f aca="false">ROUND(FORECAST(MAX(Raw_Sales_Weekly!$E$719:$E$770)+1,Raw_Sales_Weekly!$C$719:$C$770,Raw_Sales_Weekly!$E$719:$E$770),0)</f>
        <v>100</v>
      </c>
      <c r="T26" s="18" t="str">
        <f aca="false">ABC_XYZ_Classification!L23</f>
        <v>Y</v>
      </c>
      <c r="U26" s="18" t="str">
        <f aca="false">ABC_XYZ_Classification!H23</f>
        <v>B</v>
      </c>
      <c r="V26" s="18" t="str">
        <f aca="false">IF(AND(P26&gt;$F$5,T26="Z"),"Yes","No")</f>
        <v>No</v>
      </c>
      <c r="W26" s="19" t="n">
        <f aca="false">N26*E26</f>
        <v>1978.84333333333</v>
      </c>
      <c r="X26" s="18" t="str">
        <f aca="false">IF(V26="Yes",COUNTIF($V$9:V26,"Yes"),"")</f>
        <v/>
      </c>
    </row>
    <row r="27" customFormat="false" ht="15" hidden="false" customHeight="true" outlineLevel="0" collapsed="false">
      <c r="A27" s="18" t="s">
        <v>160</v>
      </c>
      <c r="B27" s="31" t="str">
        <f aca="false">ABC_XYZ_Classification!B24</f>
        <v>Fasteners Item 02 - Fasteners &amp; Hardware</v>
      </c>
      <c r="C27" s="31" t="str">
        <f aca="false">ABC_XYZ_Classification!C24</f>
        <v>Fasteners &amp; Hardware</v>
      </c>
      <c r="D27" s="18" t="n">
        <f aca="false">INDEX(Raw_SKU_Master!$I$2:$I$41,MATCH(A27,Raw_SKU_Master!$A$2:$A$41,0))</f>
        <v>43</v>
      </c>
      <c r="E27" s="30" t="n">
        <f aca="false">INDEX(Raw_SKU_Master!$E$2:$E$41,MATCH(A27,Raw_SKU_Master!$A$2:$A$41,0))</f>
        <v>3.86</v>
      </c>
      <c r="F27" s="36" t="n">
        <f aca="false">ABC_XYZ_Classification!E24/(Assumptions!$C$18*7)</f>
        <v>22.978021978022</v>
      </c>
      <c r="G27" s="36" t="n">
        <f aca="false">ABC_XYZ_Classification!J24</f>
        <v>30.5093835599328</v>
      </c>
      <c r="H27" s="18" t="n">
        <f aca="false">D27/7</f>
        <v>6.14285714285714</v>
      </c>
      <c r="I27" s="36" t="n">
        <f aca="false">ROUNDUP(Assumptions!$C$6*G27*SQRT(H27),0)</f>
        <v>125</v>
      </c>
      <c r="J27" s="36" t="n">
        <f aca="false">ROUNDUP(F27*D27+I27,0)</f>
        <v>1114</v>
      </c>
      <c r="K27" s="36" t="n">
        <f aca="false">ABC_XYZ_Classification!E24</f>
        <v>8364</v>
      </c>
      <c r="L27" s="36" t="n">
        <f aca="false">ROUND(SQRT((2*K27*Assumptions!$C$7)/(E27*Assumptions!$C$8)),0)</f>
        <v>1215</v>
      </c>
      <c r="M27" s="36" t="n">
        <f aca="false">ROUNDUP(L27/Assumptions!$C$9,0)*Assumptions!$C$9</f>
        <v>1225</v>
      </c>
      <c r="N27" s="36" t="n">
        <f aca="false">AVERAGEIF(Raw_Inventory_Monthly!$A$2:$A$481,A27,Raw_Inventory_Monthly!$C$2:$C$481)</f>
        <v>203.166666666667</v>
      </c>
      <c r="O27" s="36" t="n">
        <f aca="false">AVERAGEIF(Raw_Inventory_Monthly!$A$2:$A$481,A27,Raw_Inventory_Monthly!$G$2:$G$481)</f>
        <v>126.916666666667</v>
      </c>
      <c r="P27" s="36" t="n">
        <f aca="false">IFERROR(N27/F27,0)</f>
        <v>8.84178224135182</v>
      </c>
      <c r="Q27" s="36" t="n">
        <f aca="false">IFERROR((N27+O27)/F27,0)</f>
        <v>14.3651761517615</v>
      </c>
      <c r="R27" s="18" t="str">
        <f aca="false">IF(Q27&lt;Assumptions!$C$16*D27,"Stockout Risk",IF(Q27&gt;Assumptions!$C$17*D27,"Overstock","Healthy"))</f>
        <v>Stockout Risk</v>
      </c>
      <c r="S27" s="37" t="n">
        <f aca="false">ROUND(FORECAST(MAX(Raw_Sales_Weekly!$E$54:$E$105)+1,Raw_Sales_Weekly!$C$54:$C$105,Raw_Sales_Weekly!$E$54:$E$105),0)</f>
        <v>158</v>
      </c>
      <c r="T27" s="18" t="str">
        <f aca="false">ABC_XYZ_Classification!L24</f>
        <v>X</v>
      </c>
      <c r="U27" s="18" t="str">
        <f aca="false">ABC_XYZ_Classification!H24</f>
        <v>B</v>
      </c>
      <c r="V27" s="18" t="str">
        <f aca="false">IF(AND(P27&gt;$F$5,T27="Z"),"Yes","No")</f>
        <v>No</v>
      </c>
      <c r="W27" s="19" t="n">
        <f aca="false">N27*E27</f>
        <v>784.223333333333</v>
      </c>
      <c r="X27" s="18" t="str">
        <f aca="false">IF(V27="Yes",COUNTIF($V$9:V27,"Yes"),"")</f>
        <v/>
      </c>
    </row>
    <row r="28" customFormat="false" ht="15" hidden="false" customHeight="true" outlineLevel="0" collapsed="false">
      <c r="A28" s="18" t="s">
        <v>208</v>
      </c>
      <c r="B28" s="31" t="str">
        <f aca="false">ABC_XYZ_Classification!B25</f>
        <v>Sensors Item 03 - Sensors &amp; Controls</v>
      </c>
      <c r="C28" s="31" t="str">
        <f aca="false">ABC_XYZ_Classification!C25</f>
        <v>Sensors &amp; Controls</v>
      </c>
      <c r="D28" s="18" t="n">
        <f aca="false">INDEX(Raw_SKU_Master!$I$2:$I$41,MATCH(A28,Raw_SKU_Master!$A$2:$A$41,0))</f>
        <v>31</v>
      </c>
      <c r="E28" s="30" t="n">
        <f aca="false">INDEX(Raw_SKU_Master!$E$2:$E$41,MATCH(A28,Raw_SKU_Master!$A$2:$A$41,0))</f>
        <v>8.28</v>
      </c>
      <c r="F28" s="36" t="n">
        <f aca="false">ABC_XYZ_Classification!E25/(Assumptions!$C$18*7)</f>
        <v>8.58516483516484</v>
      </c>
      <c r="G28" s="36" t="n">
        <f aca="false">ABC_XYZ_Classification!J25</f>
        <v>65.5036912243413</v>
      </c>
      <c r="H28" s="18" t="n">
        <f aca="false">D28/7</f>
        <v>4.42857142857143</v>
      </c>
      <c r="I28" s="36" t="n">
        <f aca="false">ROUNDUP(Assumptions!$C$6*G28*SQRT(H28),0)</f>
        <v>228</v>
      </c>
      <c r="J28" s="36" t="n">
        <f aca="false">ROUNDUP(F28*D28+I28,0)</f>
        <v>495</v>
      </c>
      <c r="K28" s="36" t="n">
        <f aca="false">ABC_XYZ_Classification!E25</f>
        <v>3125</v>
      </c>
      <c r="L28" s="36" t="n">
        <f aca="false">ROUND(SQRT((2*K28*Assumptions!$C$7)/(E28*Assumptions!$C$8)),0)</f>
        <v>507</v>
      </c>
      <c r="M28" s="36" t="n">
        <f aca="false">ROUNDUP(L28/Assumptions!$C$9,0)*Assumptions!$C$9</f>
        <v>525</v>
      </c>
      <c r="N28" s="36" t="n">
        <f aca="false">AVERAGEIF(Raw_Inventory_Monthly!$A$2:$A$481,A28,Raw_Inventory_Monthly!$C$2:$C$481)</f>
        <v>1255.83333333333</v>
      </c>
      <c r="O28" s="36" t="n">
        <f aca="false">AVERAGEIF(Raw_Inventory_Monthly!$A$2:$A$481,A28,Raw_Inventory_Monthly!$G$2:$G$481)</f>
        <v>113.333333333333</v>
      </c>
      <c r="P28" s="36" t="n">
        <f aca="false">IFERROR(N28/F28,0)</f>
        <v>146.279466666667</v>
      </c>
      <c r="Q28" s="36" t="n">
        <f aca="false">IFERROR((N28+O28)/F28,0)</f>
        <v>159.480533333333</v>
      </c>
      <c r="R28" s="18" t="str">
        <f aca="false">IF(Q28&lt;Assumptions!$C$16*D28,"Stockout Risk",IF(Q28&gt;Assumptions!$C$17*D28,"Overstock","Healthy"))</f>
        <v>Overstock</v>
      </c>
      <c r="S28" s="37" t="n">
        <f aca="false">ROUND(FORECAST(MAX(Raw_Sales_Weekly!$E$771:$E$787)+1,Raw_Sales_Weekly!$C$771:$C$787,Raw_Sales_Weekly!$E$771:$E$787),0)</f>
        <v>156</v>
      </c>
      <c r="T28" s="18" t="str">
        <f aca="false">ABC_XYZ_Classification!L25</f>
        <v>Y</v>
      </c>
      <c r="U28" s="18" t="str">
        <f aca="false">ABC_XYZ_Classification!H25</f>
        <v>B</v>
      </c>
      <c r="V28" s="18" t="str">
        <f aca="false">IF(AND(P28&gt;$F$5,T28="Z"),"Yes","No")</f>
        <v>No</v>
      </c>
      <c r="W28" s="19" t="n">
        <f aca="false">N28*E28</f>
        <v>10398.3</v>
      </c>
      <c r="X28" s="18" t="str">
        <f aca="false">IF(V28="Yes",COUNTIF($V$9:V28,"Yes"),"")</f>
        <v/>
      </c>
    </row>
    <row r="29" customFormat="false" ht="15" hidden="false" customHeight="true" outlineLevel="0" collapsed="false">
      <c r="A29" s="18" t="s">
        <v>154</v>
      </c>
      <c r="B29" s="31" t="str">
        <f aca="false">ABC_XYZ_Classification!B26</f>
        <v>Fasteners Item 01 - Fasteners &amp; Hardware</v>
      </c>
      <c r="C29" s="31" t="str">
        <f aca="false">ABC_XYZ_Classification!C26</f>
        <v>Fasteners &amp; Hardware</v>
      </c>
      <c r="D29" s="18" t="n">
        <f aca="false">INDEX(Raw_SKU_Master!$I$2:$I$41,MATCH(A29,Raw_SKU_Master!$A$2:$A$41,0))</f>
        <v>65</v>
      </c>
      <c r="E29" s="30" t="n">
        <f aca="false">INDEX(Raw_SKU_Master!$E$2:$E$41,MATCH(A29,Raw_SKU_Master!$A$2:$A$41,0))</f>
        <v>3.82</v>
      </c>
      <c r="F29" s="36" t="n">
        <f aca="false">ABC_XYZ_Classification!E26/(Assumptions!$C$18*7)</f>
        <v>19.228021978022</v>
      </c>
      <c r="G29" s="36" t="n">
        <f aca="false">ABC_XYZ_Classification!J26</f>
        <v>34.9973952961473</v>
      </c>
      <c r="H29" s="18" t="n">
        <f aca="false">D29/7</f>
        <v>9.28571428571429</v>
      </c>
      <c r="I29" s="36" t="n">
        <f aca="false">ROUNDUP(Assumptions!$C$6*G29*SQRT(H29),0)</f>
        <v>176</v>
      </c>
      <c r="J29" s="36" t="n">
        <f aca="false">ROUNDUP(F29*D29+I29,0)</f>
        <v>1426</v>
      </c>
      <c r="K29" s="36" t="n">
        <f aca="false">ABC_XYZ_Classification!E26</f>
        <v>6999</v>
      </c>
      <c r="L29" s="36" t="n">
        <f aca="false">ROUND(SQRT((2*K29*Assumptions!$C$7)/(E29*Assumptions!$C$8)),0)</f>
        <v>1118</v>
      </c>
      <c r="M29" s="36" t="n">
        <f aca="false">ROUNDUP(L29/Assumptions!$C$9,0)*Assumptions!$C$9</f>
        <v>1125</v>
      </c>
      <c r="N29" s="36" t="n">
        <f aca="false">AVERAGEIF(Raw_Inventory_Monthly!$A$2:$A$481,A29,Raw_Inventory_Monthly!$C$2:$C$481)</f>
        <v>388.583333333333</v>
      </c>
      <c r="O29" s="36" t="n">
        <f aca="false">AVERAGEIF(Raw_Inventory_Monthly!$A$2:$A$481,A29,Raw_Inventory_Monthly!$G$2:$G$481)</f>
        <v>119.333333333333</v>
      </c>
      <c r="P29" s="36" t="n">
        <f aca="false">IFERROR(N29/F29,0)</f>
        <v>20.209220364814</v>
      </c>
      <c r="Q29" s="36" t="n">
        <f aca="false">IFERROR((N29+O29)/F29,0)</f>
        <v>26.4154403009954</v>
      </c>
      <c r="R29" s="18" t="str">
        <f aca="false">IF(Q29&lt;Assumptions!$C$16*D29,"Stockout Risk",IF(Q29&gt;Assumptions!$C$17*D29,"Overstock","Healthy"))</f>
        <v>Stockout Risk</v>
      </c>
      <c r="S29" s="37" t="n">
        <f aca="false">ROUND(FORECAST(MAX(Raw_Sales_Weekly!$E$2:$E$53)+1,Raw_Sales_Weekly!$C$2:$C$53,Raw_Sales_Weekly!$E$2:$E$53),0)</f>
        <v>117</v>
      </c>
      <c r="T29" s="18" t="str">
        <f aca="false">ABC_XYZ_Classification!L26</f>
        <v>X</v>
      </c>
      <c r="U29" s="18" t="str">
        <f aca="false">ABC_XYZ_Classification!H26</f>
        <v>B</v>
      </c>
      <c r="V29" s="18" t="str">
        <f aca="false">IF(AND(P29&gt;$F$5,T29="Z"),"Yes","No")</f>
        <v>No</v>
      </c>
      <c r="W29" s="19" t="n">
        <f aca="false">N29*E29</f>
        <v>1484.38833333333</v>
      </c>
      <c r="X29" s="18" t="str">
        <f aca="false">IF(V29="Yes",COUNTIF($V$9:V29,"Yes"),"")</f>
        <v/>
      </c>
    </row>
    <row r="30" customFormat="false" ht="15" hidden="false" customHeight="true" outlineLevel="0" collapsed="false">
      <c r="A30" s="18" t="s">
        <v>239</v>
      </c>
      <c r="B30" s="31" t="str">
        <f aca="false">ABC_XYZ_Classification!B27</f>
        <v>Pneumatic Components Item 05 - Pneumatic Components</v>
      </c>
      <c r="C30" s="31" t="str">
        <f aca="false">ABC_XYZ_Classification!C27</f>
        <v>Pneumatic Components</v>
      </c>
      <c r="D30" s="18" t="n">
        <f aca="false">INDEX(Raw_SKU_Master!$I$2:$I$41,MATCH(A30,Raw_SKU_Master!$A$2:$A$41,0))</f>
        <v>19</v>
      </c>
      <c r="E30" s="30" t="n">
        <f aca="false">INDEX(Raw_SKU_Master!$E$2:$E$41,MATCH(A30,Raw_SKU_Master!$A$2:$A$41,0))</f>
        <v>6.07</v>
      </c>
      <c r="F30" s="36" t="n">
        <f aca="false">ABC_XYZ_Classification!E27/(Assumptions!$C$18*7)</f>
        <v>10.5604395604396</v>
      </c>
      <c r="G30" s="36" t="n">
        <f aca="false">ABC_XYZ_Classification!J27</f>
        <v>21.5235525322719</v>
      </c>
      <c r="H30" s="18" t="n">
        <f aca="false">D30/7</f>
        <v>2.71428571428571</v>
      </c>
      <c r="I30" s="36" t="n">
        <f aca="false">ROUNDUP(Assumptions!$C$6*G30*SQRT(H30),0)</f>
        <v>59</v>
      </c>
      <c r="J30" s="36" t="n">
        <f aca="false">ROUNDUP(F30*D30+I30,0)</f>
        <v>260</v>
      </c>
      <c r="K30" s="36" t="n">
        <f aca="false">ABC_XYZ_Classification!E27</f>
        <v>3844</v>
      </c>
      <c r="L30" s="36" t="n">
        <f aca="false">ROUND(SQRT((2*K30*Assumptions!$C$7)/(E30*Assumptions!$C$8)),0)</f>
        <v>657</v>
      </c>
      <c r="M30" s="36" t="n">
        <f aca="false">ROUNDUP(L30/Assumptions!$C$9,0)*Assumptions!$C$9</f>
        <v>675</v>
      </c>
      <c r="N30" s="36" t="n">
        <f aca="false">AVERAGEIF(Raw_Inventory_Monthly!$A$2:$A$481,A30,Raw_Inventory_Monthly!$C$2:$C$481)</f>
        <v>297.583333333333</v>
      </c>
      <c r="O30" s="36" t="n">
        <f aca="false">AVERAGEIF(Raw_Inventory_Monthly!$A$2:$A$481,A30,Raw_Inventory_Monthly!$G$2:$G$481)</f>
        <v>68</v>
      </c>
      <c r="P30" s="36" t="n">
        <f aca="false">IFERROR(N30/F30,0)</f>
        <v>28.1790669441554</v>
      </c>
      <c r="Q30" s="36" t="n">
        <f aca="false">IFERROR((N30+O30)/F30,0)</f>
        <v>34.6181928546653</v>
      </c>
      <c r="R30" s="18" t="str">
        <f aca="false">IF(Q30&lt;Assumptions!$C$16*D30,"Stockout Risk",IF(Q30&gt;Assumptions!$C$17*D30,"Overstock","Healthy"))</f>
        <v>Healthy</v>
      </c>
      <c r="S30" s="37" t="n">
        <f aca="false">ROUND(FORECAST(MAX(Raw_Sales_Weekly!$E$1325:$E$1376)+1,Raw_Sales_Weekly!$C$1325:$C$1376,Raw_Sales_Weekly!$E$1325:$E$1376),0)</f>
        <v>85</v>
      </c>
      <c r="T30" s="18" t="str">
        <f aca="false">ABC_XYZ_Classification!L27</f>
        <v>X</v>
      </c>
      <c r="U30" s="18" t="str">
        <f aca="false">ABC_XYZ_Classification!H27</f>
        <v>B</v>
      </c>
      <c r="V30" s="18" t="str">
        <f aca="false">IF(AND(P30&gt;$F$5,T30="Z"),"Yes","No")</f>
        <v>No</v>
      </c>
      <c r="W30" s="19" t="n">
        <f aca="false">N30*E30</f>
        <v>1806.33083333333</v>
      </c>
      <c r="X30" s="18" t="str">
        <f aca="false">IF(V30="Yes",COUNTIF($V$9:V30,"Yes"),"")</f>
        <v/>
      </c>
    </row>
    <row r="31" customFormat="false" ht="15" hidden="false" customHeight="true" outlineLevel="0" collapsed="false">
      <c r="A31" s="18" t="s">
        <v>183</v>
      </c>
      <c r="B31" s="31" t="str">
        <f aca="false">ABC_XYZ_Classification!B28</f>
        <v>Bearings Item 04 - Bearings &amp; Bushings</v>
      </c>
      <c r="C31" s="31" t="str">
        <f aca="false">ABC_XYZ_Classification!C28</f>
        <v>Bearings &amp; Bushings</v>
      </c>
      <c r="D31" s="18" t="n">
        <f aca="false">INDEX(Raw_SKU_Master!$I$2:$I$41,MATCH(A31,Raw_SKU_Master!$A$2:$A$41,0))</f>
        <v>164</v>
      </c>
      <c r="E31" s="30" t="n">
        <f aca="false">INDEX(Raw_SKU_Master!$E$2:$E$41,MATCH(A31,Raw_SKU_Master!$A$2:$A$41,0))</f>
        <v>5.13</v>
      </c>
      <c r="F31" s="36" t="n">
        <f aca="false">ABC_XYZ_Classification!E28/(Assumptions!$C$18*7)</f>
        <v>13.3736263736264</v>
      </c>
      <c r="G31" s="36" t="n">
        <f aca="false">ABC_XYZ_Classification!J28</f>
        <v>33.6321468505231</v>
      </c>
      <c r="H31" s="18" t="n">
        <f aca="false">D31/7</f>
        <v>23.4285714285714</v>
      </c>
      <c r="I31" s="36" t="n">
        <f aca="false">ROUNDUP(Assumptions!$C$6*G31*SQRT(H31),0)</f>
        <v>269</v>
      </c>
      <c r="J31" s="36" t="n">
        <f aca="false">ROUNDUP(F31*D31+I31,0)</f>
        <v>2463</v>
      </c>
      <c r="K31" s="36" t="n">
        <f aca="false">ABC_XYZ_Classification!E28</f>
        <v>4868</v>
      </c>
      <c r="L31" s="36" t="n">
        <f aca="false">ROUND(SQRT((2*K31*Assumptions!$C$7)/(E31*Assumptions!$C$8)),0)</f>
        <v>804</v>
      </c>
      <c r="M31" s="36" t="n">
        <f aca="false">ROUNDUP(L31/Assumptions!$C$9,0)*Assumptions!$C$9</f>
        <v>825</v>
      </c>
      <c r="N31" s="36" t="n">
        <f aca="false">AVERAGEIF(Raw_Inventory_Monthly!$A$2:$A$481,A31,Raw_Inventory_Monthly!$C$2:$C$481)</f>
        <v>414.416666666667</v>
      </c>
      <c r="O31" s="36" t="n">
        <f aca="false">AVERAGEIF(Raw_Inventory_Monthly!$A$2:$A$481,A31,Raw_Inventory_Monthly!$G$2:$G$481)</f>
        <v>88.25</v>
      </c>
      <c r="P31" s="36" t="n">
        <f aca="false">IFERROR(N31/F31,0)</f>
        <v>30.9876061353054</v>
      </c>
      <c r="Q31" s="36" t="n">
        <f aca="false">IFERROR((N31+O31)/F31,0)</f>
        <v>37.5864146809093</v>
      </c>
      <c r="R31" s="18" t="str">
        <f aca="false">IF(Q31&lt;Assumptions!$C$16*D31,"Stockout Risk",IF(Q31&gt;Assumptions!$C$17*D31,"Overstock","Healthy"))</f>
        <v>Stockout Risk</v>
      </c>
      <c r="S31" s="37" t="n">
        <f aca="false">ROUND(FORECAST(MAX(Raw_Sales_Weekly!$E$336:$E$387)+1,Raw_Sales_Weekly!$C$336:$C$387,Raw_Sales_Weekly!$E$336:$E$387),0)</f>
        <v>68</v>
      </c>
      <c r="T31" s="18" t="str">
        <f aca="false">ABC_XYZ_Classification!L28</f>
        <v>Y</v>
      </c>
      <c r="U31" s="18" t="str">
        <f aca="false">ABC_XYZ_Classification!H28</f>
        <v>B</v>
      </c>
      <c r="V31" s="18" t="str">
        <f aca="false">IF(AND(P31&gt;$F$5,T31="Z"),"Yes","No")</f>
        <v>No</v>
      </c>
      <c r="W31" s="19" t="n">
        <f aca="false">N31*E31</f>
        <v>2125.9575</v>
      </c>
      <c r="X31" s="18" t="str">
        <f aca="false">IF(V31="Yes",COUNTIF($V$9:V31,"Yes"),"")</f>
        <v/>
      </c>
    </row>
    <row r="32" customFormat="false" ht="15" hidden="false" customHeight="true" outlineLevel="0" collapsed="false">
      <c r="A32" s="18" t="s">
        <v>164</v>
      </c>
      <c r="B32" s="31" t="str">
        <f aca="false">ABC_XYZ_Classification!B29</f>
        <v>Fasteners Item 03 - Fasteners &amp; Hardware</v>
      </c>
      <c r="C32" s="31" t="str">
        <f aca="false">ABC_XYZ_Classification!C29</f>
        <v>Fasteners &amp; Hardware</v>
      </c>
      <c r="D32" s="18" t="n">
        <f aca="false">INDEX(Raw_SKU_Master!$I$2:$I$41,MATCH(A32,Raw_SKU_Master!$A$2:$A$41,0))</f>
        <v>60</v>
      </c>
      <c r="E32" s="30" t="n">
        <f aca="false">INDEX(Raw_SKU_Master!$E$2:$E$41,MATCH(A32,Raw_SKU_Master!$A$2:$A$41,0))</f>
        <v>2.83</v>
      </c>
      <c r="F32" s="36" t="n">
        <f aca="false">ABC_XYZ_Classification!E29/(Assumptions!$C$18*7)</f>
        <v>17.8434065934066</v>
      </c>
      <c r="G32" s="36" t="n">
        <f aca="false">ABC_XYZ_Classification!J29</f>
        <v>43.5639492873958</v>
      </c>
      <c r="H32" s="18" t="n">
        <f aca="false">D32/7</f>
        <v>8.57142857142857</v>
      </c>
      <c r="I32" s="36" t="n">
        <f aca="false">ROUNDUP(Assumptions!$C$6*G32*SQRT(H32),0)</f>
        <v>211</v>
      </c>
      <c r="J32" s="36" t="n">
        <f aca="false">ROUNDUP(F32*D32+I32,0)</f>
        <v>1282</v>
      </c>
      <c r="K32" s="36" t="n">
        <f aca="false">ABC_XYZ_Classification!E29</f>
        <v>6495</v>
      </c>
      <c r="L32" s="36" t="n">
        <f aca="false">ROUND(SQRT((2*K32*Assumptions!$C$7)/(E32*Assumptions!$C$8)),0)</f>
        <v>1251</v>
      </c>
      <c r="M32" s="36" t="n">
        <f aca="false">ROUNDUP(L32/Assumptions!$C$9,0)*Assumptions!$C$9</f>
        <v>1275</v>
      </c>
      <c r="N32" s="36" t="n">
        <f aca="false">AVERAGEIF(Raw_Inventory_Monthly!$A$2:$A$481,A32,Raw_Inventory_Monthly!$C$2:$C$481)</f>
        <v>419.833333333333</v>
      </c>
      <c r="O32" s="36" t="n">
        <f aca="false">AVERAGEIF(Raw_Inventory_Monthly!$A$2:$A$481,A32,Raw_Inventory_Monthly!$G$2:$G$481)</f>
        <v>128.166666666667</v>
      </c>
      <c r="P32" s="36" t="n">
        <f aca="false">IFERROR(N32/F32,0)</f>
        <v>23.5287657172184</v>
      </c>
      <c r="Q32" s="36" t="n">
        <f aca="false">IFERROR((N32+O32)/F32,0)</f>
        <v>30.7116243264049</v>
      </c>
      <c r="R32" s="18" t="str">
        <f aca="false">IF(Q32&lt;Assumptions!$C$16*D32,"Stockout Risk",IF(Q32&gt;Assumptions!$C$17*D32,"Overstock","Healthy"))</f>
        <v>Stockout Risk</v>
      </c>
      <c r="S32" s="37" t="n">
        <f aca="false">ROUND(FORECAST(MAX(Raw_Sales_Weekly!$E$106:$E$157)+1,Raw_Sales_Weekly!$C$106:$C$157,Raw_Sales_Weekly!$E$106:$E$157),0)</f>
        <v>132</v>
      </c>
      <c r="T32" s="18" t="str">
        <f aca="false">ABC_XYZ_Classification!L29</f>
        <v>Y</v>
      </c>
      <c r="U32" s="18" t="str">
        <f aca="false">ABC_XYZ_Classification!H29</f>
        <v>B</v>
      </c>
      <c r="V32" s="18" t="str">
        <f aca="false">IF(AND(P32&gt;$F$5,T32="Z"),"Yes","No")</f>
        <v>No</v>
      </c>
      <c r="W32" s="19" t="n">
        <f aca="false">N32*E32</f>
        <v>1188.12833333333</v>
      </c>
      <c r="X32" s="18" t="str">
        <f aca="false">IF(V32="Yes",COUNTIF($V$9:V32,"Yes"),"")</f>
        <v/>
      </c>
    </row>
    <row r="33" customFormat="false" ht="15" hidden="false" customHeight="true" outlineLevel="0" collapsed="false">
      <c r="A33" s="18" t="s">
        <v>181</v>
      </c>
      <c r="B33" s="31" t="str">
        <f aca="false">ABC_XYZ_Classification!B30</f>
        <v>Bearings Item 03 - Bearings &amp; Bushings</v>
      </c>
      <c r="C33" s="31" t="str">
        <f aca="false">ABC_XYZ_Classification!C30</f>
        <v>Bearings &amp; Bushings</v>
      </c>
      <c r="D33" s="18" t="n">
        <f aca="false">INDEX(Raw_SKU_Master!$I$2:$I$41,MATCH(A33,Raw_SKU_Master!$A$2:$A$41,0))</f>
        <v>128</v>
      </c>
      <c r="E33" s="30" t="n">
        <f aca="false">INDEX(Raw_SKU_Master!$E$2:$E$41,MATCH(A33,Raw_SKU_Master!$A$2:$A$41,0))</f>
        <v>3.36</v>
      </c>
      <c r="F33" s="36" t="n">
        <f aca="false">ABC_XYZ_Classification!E30/(Assumptions!$C$18*7)</f>
        <v>12.9972527472527</v>
      </c>
      <c r="G33" s="36" t="n">
        <f aca="false">ABC_XYZ_Classification!J30</f>
        <v>16.1834321554904</v>
      </c>
      <c r="H33" s="18" t="n">
        <f aca="false">D33/7</f>
        <v>18.2857142857143</v>
      </c>
      <c r="I33" s="36" t="n">
        <f aca="false">ROUNDUP(Assumptions!$C$6*G33*SQRT(H33),0)</f>
        <v>115</v>
      </c>
      <c r="J33" s="36" t="n">
        <f aca="false">ROUNDUP(F33*D33+I33,0)</f>
        <v>1779</v>
      </c>
      <c r="K33" s="36" t="n">
        <f aca="false">ABC_XYZ_Classification!E30</f>
        <v>4731</v>
      </c>
      <c r="L33" s="36" t="n">
        <f aca="false">ROUND(SQRT((2*K33*Assumptions!$C$7)/(E33*Assumptions!$C$8)),0)</f>
        <v>980</v>
      </c>
      <c r="M33" s="36" t="n">
        <f aca="false">ROUNDUP(L33/Assumptions!$C$9,0)*Assumptions!$C$9</f>
        <v>1000</v>
      </c>
      <c r="N33" s="36" t="n">
        <f aca="false">AVERAGEIF(Raw_Inventory_Monthly!$A$2:$A$481,A33,Raw_Inventory_Monthly!$C$2:$C$481)</f>
        <v>135.916666666667</v>
      </c>
      <c r="O33" s="36" t="n">
        <f aca="false">AVERAGEIF(Raw_Inventory_Monthly!$A$2:$A$481,A33,Raw_Inventory_Monthly!$G$2:$G$481)</f>
        <v>71.3333333333333</v>
      </c>
      <c r="P33" s="36" t="n">
        <f aca="false">IFERROR(N33/F33,0)</f>
        <v>10.4573381244275</v>
      </c>
      <c r="Q33" s="36" t="n">
        <f aca="false">IFERROR((N33+O33)/F33,0)</f>
        <v>15.9456774466286</v>
      </c>
      <c r="R33" s="18" t="str">
        <f aca="false">IF(Q33&lt;Assumptions!$C$16*D33,"Stockout Risk",IF(Q33&gt;Assumptions!$C$17*D33,"Overstock","Healthy"))</f>
        <v>Stockout Risk</v>
      </c>
      <c r="S33" s="37" t="n">
        <f aca="false">ROUND(FORECAST(MAX(Raw_Sales_Weekly!$E$284:$E$335)+1,Raw_Sales_Weekly!$C$284:$C$335,Raw_Sales_Weekly!$E$284:$E$335),0)</f>
        <v>86</v>
      </c>
      <c r="T33" s="18" t="str">
        <f aca="false">ABC_XYZ_Classification!L30</f>
        <v>X</v>
      </c>
      <c r="U33" s="18" t="str">
        <f aca="false">ABC_XYZ_Classification!H30</f>
        <v>B</v>
      </c>
      <c r="V33" s="18" t="str">
        <f aca="false">IF(AND(P33&gt;$F$5,T33="Z"),"Yes","No")</f>
        <v>No</v>
      </c>
      <c r="W33" s="19" t="n">
        <f aca="false">N33*E33</f>
        <v>456.68</v>
      </c>
      <c r="X33" s="18" t="str">
        <f aca="false">IF(V33="Yes",COUNTIF($V$9:V33,"Yes"),"")</f>
        <v/>
      </c>
    </row>
    <row r="34" customFormat="false" ht="15" hidden="false" customHeight="true" outlineLevel="0" collapsed="false">
      <c r="A34" s="18" t="s">
        <v>215</v>
      </c>
      <c r="B34" s="31" t="str">
        <f aca="false">ABC_XYZ_Classification!B31</f>
        <v>Seals Item 01 - Seals &amp; Gaskets</v>
      </c>
      <c r="C34" s="31" t="str">
        <f aca="false">ABC_XYZ_Classification!C31</f>
        <v>Seals &amp; Gaskets</v>
      </c>
      <c r="D34" s="18" t="n">
        <f aca="false">INDEX(Raw_SKU_Master!$I$2:$I$41,MATCH(A34,Raw_SKU_Master!$A$2:$A$41,0))</f>
        <v>16</v>
      </c>
      <c r="E34" s="30" t="n">
        <f aca="false">INDEX(Raw_SKU_Master!$E$2:$E$41,MATCH(A34,Raw_SKU_Master!$A$2:$A$41,0))</f>
        <v>2.59</v>
      </c>
      <c r="F34" s="36" t="n">
        <f aca="false">ABC_XYZ_Classification!E31/(Assumptions!$C$18*7)</f>
        <v>13.1868131868132</v>
      </c>
      <c r="G34" s="36" t="n">
        <f aca="false">ABC_XYZ_Classification!J31</f>
        <v>29.2269228238533</v>
      </c>
      <c r="H34" s="18" t="n">
        <f aca="false">D34/7</f>
        <v>2.28571428571429</v>
      </c>
      <c r="I34" s="36" t="n">
        <f aca="false">ROUNDUP(Assumptions!$C$6*G34*SQRT(H34),0)</f>
        <v>73</v>
      </c>
      <c r="J34" s="36" t="n">
        <f aca="false">ROUNDUP(F34*D34+I34,0)</f>
        <v>284</v>
      </c>
      <c r="K34" s="36" t="n">
        <f aca="false">ABC_XYZ_Classification!E31</f>
        <v>4800</v>
      </c>
      <c r="L34" s="36" t="n">
        <f aca="false">ROUND(SQRT((2*K34*Assumptions!$C$7)/(E34*Assumptions!$C$8)),0)</f>
        <v>1124</v>
      </c>
      <c r="M34" s="36" t="n">
        <f aca="false">ROUNDUP(L34/Assumptions!$C$9,0)*Assumptions!$C$9</f>
        <v>1125</v>
      </c>
      <c r="N34" s="36" t="n">
        <f aca="false">AVERAGEIF(Raw_Inventory_Monthly!$A$2:$A$481,A34,Raw_Inventory_Monthly!$C$2:$C$481)</f>
        <v>243.833333333333</v>
      </c>
      <c r="O34" s="36" t="n">
        <f aca="false">AVERAGEIF(Raw_Inventory_Monthly!$A$2:$A$481,A34,Raw_Inventory_Monthly!$G$2:$G$481)</f>
        <v>56.5</v>
      </c>
      <c r="P34" s="36" t="n">
        <f aca="false">IFERROR(N34/F34,0)</f>
        <v>18.4906944444444</v>
      </c>
      <c r="Q34" s="36" t="n">
        <f aca="false">IFERROR((N34+O34)/F34,0)</f>
        <v>22.7752777777778</v>
      </c>
      <c r="R34" s="18" t="str">
        <f aca="false">IF(Q34&lt;Assumptions!$C$16*D34,"Stockout Risk",IF(Q34&gt;Assumptions!$C$17*D34,"Overstock","Healthy"))</f>
        <v>Healthy</v>
      </c>
      <c r="S34" s="37" t="n">
        <f aca="false">ROUND(FORECAST(MAX(Raw_Sales_Weekly!$E$892:$E$943)+1,Raw_Sales_Weekly!$C$892:$C$943,Raw_Sales_Weekly!$E$892:$E$943),0)</f>
        <v>86</v>
      </c>
      <c r="T34" s="18" t="str">
        <f aca="false">ABC_XYZ_Classification!L31</f>
        <v>Y</v>
      </c>
      <c r="U34" s="18" t="str">
        <f aca="false">ABC_XYZ_Classification!H31</f>
        <v>C</v>
      </c>
      <c r="V34" s="18" t="str">
        <f aca="false">IF(AND(P34&gt;$F$5,T34="Z"),"Yes","No")</f>
        <v>No</v>
      </c>
      <c r="W34" s="19" t="n">
        <f aca="false">N34*E34</f>
        <v>631.528333333333</v>
      </c>
      <c r="X34" s="18" t="str">
        <f aca="false">IF(V34="Yes",COUNTIF($V$9:V34,"Yes"),"")</f>
        <v/>
      </c>
    </row>
    <row r="35" customFormat="false" ht="15" hidden="false" customHeight="true" outlineLevel="0" collapsed="false">
      <c r="A35" s="18" t="s">
        <v>173</v>
      </c>
      <c r="B35" s="31" t="str">
        <f aca="false">ABC_XYZ_Classification!B32</f>
        <v>Bearings Item 01 - Bearings &amp; Bushings</v>
      </c>
      <c r="C35" s="31" t="str">
        <f aca="false">ABC_XYZ_Classification!C32</f>
        <v>Bearings &amp; Bushings</v>
      </c>
      <c r="D35" s="18" t="n">
        <f aca="false">INDEX(Raw_SKU_Master!$I$2:$I$41,MATCH(A35,Raw_SKU_Master!$A$2:$A$41,0))</f>
        <v>95</v>
      </c>
      <c r="E35" s="30" t="n">
        <f aca="false">INDEX(Raw_SKU_Master!$E$2:$E$41,MATCH(A35,Raw_SKU_Master!$A$2:$A$41,0))</f>
        <v>3.02</v>
      </c>
      <c r="F35" s="36" t="n">
        <f aca="false">ABC_XYZ_Classification!E32/(Assumptions!$C$18*7)</f>
        <v>10.2087912087912</v>
      </c>
      <c r="G35" s="36" t="n">
        <f aca="false">ABC_XYZ_Classification!J32</f>
        <v>20.0954085250084</v>
      </c>
      <c r="H35" s="18" t="n">
        <f aca="false">D35/7</f>
        <v>13.5714285714286</v>
      </c>
      <c r="I35" s="36" t="n">
        <f aca="false">ROUNDUP(Assumptions!$C$6*G35*SQRT(H35),0)</f>
        <v>123</v>
      </c>
      <c r="J35" s="36" t="n">
        <f aca="false">ROUNDUP(F35*D35+I35,0)</f>
        <v>1093</v>
      </c>
      <c r="K35" s="36" t="n">
        <f aca="false">ABC_XYZ_Classification!E32</f>
        <v>3716</v>
      </c>
      <c r="L35" s="36" t="n">
        <f aca="false">ROUND(SQRT((2*K35*Assumptions!$C$7)/(E35*Assumptions!$C$8)),0)</f>
        <v>916</v>
      </c>
      <c r="M35" s="36" t="n">
        <f aca="false">ROUNDUP(L35/Assumptions!$C$9,0)*Assumptions!$C$9</f>
        <v>925</v>
      </c>
      <c r="N35" s="36" t="n">
        <f aca="false">AVERAGEIF(Raw_Inventory_Monthly!$A$2:$A$481,A35,Raw_Inventory_Monthly!$C$2:$C$481)</f>
        <v>268.75</v>
      </c>
      <c r="O35" s="36" t="n">
        <f aca="false">AVERAGEIF(Raw_Inventory_Monthly!$A$2:$A$481,A35,Raw_Inventory_Monthly!$G$2:$G$481)</f>
        <v>56.5</v>
      </c>
      <c r="P35" s="36" t="n">
        <f aca="false">IFERROR(N35/F35,0)</f>
        <v>26.3253498385361</v>
      </c>
      <c r="Q35" s="36" t="n">
        <f aca="false">IFERROR((N35+O35)/F35,0)</f>
        <v>31.8597954790097</v>
      </c>
      <c r="R35" s="18" t="str">
        <f aca="false">IF(Q35&lt;Assumptions!$C$16*D35,"Stockout Risk",IF(Q35&gt;Assumptions!$C$17*D35,"Overstock","Healthy"))</f>
        <v>Stockout Risk</v>
      </c>
      <c r="S35" s="37" t="n">
        <f aca="false">ROUND(FORECAST(MAX(Raw_Sales_Weekly!$E$222:$E$273)+1,Raw_Sales_Weekly!$C$222:$C$273,Raw_Sales_Weekly!$E$222:$E$273),0)</f>
        <v>70</v>
      </c>
      <c r="T35" s="18" t="str">
        <f aca="false">ABC_XYZ_Classification!L32</f>
        <v>X</v>
      </c>
      <c r="U35" s="18" t="str">
        <f aca="false">ABC_XYZ_Classification!H32</f>
        <v>C</v>
      </c>
      <c r="V35" s="18" t="str">
        <f aca="false">IF(AND(P35&gt;$F$5,T35="Z"),"Yes","No")</f>
        <v>No</v>
      </c>
      <c r="W35" s="19" t="n">
        <f aca="false">N35*E35</f>
        <v>811.625</v>
      </c>
      <c r="X35" s="18" t="str">
        <f aca="false">IF(V35="Yes",COUNTIF($V$9:V35,"Yes"),"")</f>
        <v/>
      </c>
    </row>
    <row r="36" customFormat="false" ht="15" hidden="false" customHeight="true" outlineLevel="0" collapsed="false">
      <c r="A36" s="18" t="s">
        <v>254</v>
      </c>
      <c r="B36" s="31" t="str">
        <f aca="false">ABC_XYZ_Classification!B33</f>
        <v>Packaging Materials Item 01 - Packaging Materials</v>
      </c>
      <c r="C36" s="31" t="str">
        <f aca="false">ABC_XYZ_Classification!C33</f>
        <v>Packaging Materials</v>
      </c>
      <c r="D36" s="18" t="n">
        <f aca="false">INDEX(Raw_SKU_Master!$I$2:$I$41,MATCH(A36,Raw_SKU_Master!$A$2:$A$41,0))</f>
        <v>19</v>
      </c>
      <c r="E36" s="30" t="n">
        <f aca="false">INDEX(Raw_SKU_Master!$E$2:$E$41,MATCH(A36,Raw_SKU_Master!$A$2:$A$41,0))</f>
        <v>0.84</v>
      </c>
      <c r="F36" s="36" t="n">
        <f aca="false">ABC_XYZ_Classification!E33/(Assumptions!$C$18*7)</f>
        <v>24.967032967033</v>
      </c>
      <c r="G36" s="36" t="n">
        <f aca="false">ABC_XYZ_Classification!J33</f>
        <v>27.2824368586596</v>
      </c>
      <c r="H36" s="18" t="n">
        <f aca="false">D36/7</f>
        <v>2.71428571428571</v>
      </c>
      <c r="I36" s="36" t="n">
        <f aca="false">ROUNDUP(Assumptions!$C$6*G36*SQRT(H36),0)</f>
        <v>75</v>
      </c>
      <c r="J36" s="36" t="n">
        <f aca="false">ROUNDUP(F36*D36+I36,0)</f>
        <v>550</v>
      </c>
      <c r="K36" s="36" t="n">
        <f aca="false">ABC_XYZ_Classification!E33</f>
        <v>9088</v>
      </c>
      <c r="L36" s="36" t="n">
        <f aca="false">ROUND(SQRT((2*K36*Assumptions!$C$7)/(E36*Assumptions!$C$8)),0)</f>
        <v>2716</v>
      </c>
      <c r="M36" s="36" t="n">
        <f aca="false">ROUNDUP(L36/Assumptions!$C$9,0)*Assumptions!$C$9</f>
        <v>2725</v>
      </c>
      <c r="N36" s="36" t="n">
        <f aca="false">AVERAGEIF(Raw_Inventory_Monthly!$A$2:$A$481,A36,Raw_Inventory_Monthly!$C$2:$C$481)</f>
        <v>632</v>
      </c>
      <c r="O36" s="36" t="n">
        <f aca="false">AVERAGEIF(Raw_Inventory_Monthly!$A$2:$A$481,A36,Raw_Inventory_Monthly!$G$2:$G$481)</f>
        <v>141.333333333333</v>
      </c>
      <c r="P36" s="36" t="n">
        <f aca="false">IFERROR(N36/F36,0)</f>
        <v>25.3133802816901</v>
      </c>
      <c r="Q36" s="36" t="n">
        <f aca="false">IFERROR((N36+O36)/F36,0)</f>
        <v>30.9741784037559</v>
      </c>
      <c r="R36" s="18" t="str">
        <f aca="false">IF(Q36&lt;Assumptions!$C$16*D36,"Stockout Risk",IF(Q36&gt;Assumptions!$C$17*D36,"Overstock","Healthy"))</f>
        <v>Healthy</v>
      </c>
      <c r="S36" s="37" t="n">
        <f aca="false">ROUND(FORECAST(MAX(Raw_Sales_Weekly!$E$1586:$E$1637)+1,Raw_Sales_Weekly!$C$1586:$C$1637,Raw_Sales_Weekly!$E$1586:$E$1637),0)</f>
        <v>158</v>
      </c>
      <c r="T36" s="18" t="str">
        <f aca="false">ABC_XYZ_Classification!L33</f>
        <v>X</v>
      </c>
      <c r="U36" s="18" t="str">
        <f aca="false">ABC_XYZ_Classification!H33</f>
        <v>C</v>
      </c>
      <c r="V36" s="18" t="str">
        <f aca="false">IF(AND(P36&gt;$F$5,T36="Z"),"Yes","No")</f>
        <v>No</v>
      </c>
      <c r="W36" s="19" t="n">
        <f aca="false">N36*E36</f>
        <v>530.88</v>
      </c>
      <c r="X36" s="18" t="str">
        <f aca="false">IF(V36="Yes",COUNTIF($V$9:V36,"Yes"),"")</f>
        <v/>
      </c>
    </row>
    <row r="37" customFormat="false" ht="15" hidden="false" customHeight="true" outlineLevel="0" collapsed="false">
      <c r="A37" s="18" t="s">
        <v>236</v>
      </c>
      <c r="B37" s="31" t="str">
        <f aca="false">ABC_XYZ_Classification!B34</f>
        <v>Pneumatic Components Item 04 - Pneumatic Components</v>
      </c>
      <c r="C37" s="31" t="str">
        <f aca="false">ABC_XYZ_Classification!C34</f>
        <v>Pneumatic Components</v>
      </c>
      <c r="D37" s="18" t="n">
        <f aca="false">INDEX(Raw_SKU_Master!$I$2:$I$41,MATCH(A37,Raw_SKU_Master!$A$2:$A$41,0))</f>
        <v>46</v>
      </c>
      <c r="E37" s="30" t="n">
        <f aca="false">INDEX(Raw_SKU_Master!$E$2:$E$41,MATCH(A37,Raw_SKU_Master!$A$2:$A$41,0))</f>
        <v>6.69</v>
      </c>
      <c r="F37" s="36" t="n">
        <f aca="false">ABC_XYZ_Classification!E34/(Assumptions!$C$18*7)</f>
        <v>3.43681318681319</v>
      </c>
      <c r="G37" s="36" t="n">
        <f aca="false">ABC_XYZ_Classification!J34</f>
        <v>44.761004233596</v>
      </c>
      <c r="H37" s="18" t="n">
        <f aca="false">D37/7</f>
        <v>6.57142857142857</v>
      </c>
      <c r="I37" s="36" t="n">
        <f aca="false">ROUNDUP(Assumptions!$C$6*G37*SQRT(H37),0)</f>
        <v>190</v>
      </c>
      <c r="J37" s="36" t="n">
        <f aca="false">ROUNDUP(F37*D37+I37,0)</f>
        <v>349</v>
      </c>
      <c r="K37" s="36" t="n">
        <f aca="false">ABC_XYZ_Classification!E34</f>
        <v>1251</v>
      </c>
      <c r="L37" s="36" t="n">
        <f aca="false">ROUND(SQRT((2*K37*Assumptions!$C$7)/(E37*Assumptions!$C$8)),0)</f>
        <v>357</v>
      </c>
      <c r="M37" s="36" t="n">
        <f aca="false">ROUNDUP(L37/Assumptions!$C$9,0)*Assumptions!$C$9</f>
        <v>375</v>
      </c>
      <c r="N37" s="36" t="n">
        <f aca="false">AVERAGEIF(Raw_Inventory_Monthly!$A$2:$A$481,A37,Raw_Inventory_Monthly!$C$2:$C$481)</f>
        <v>460.25</v>
      </c>
      <c r="O37" s="36" t="n">
        <f aca="false">AVERAGEIF(Raw_Inventory_Monthly!$A$2:$A$481,A37,Raw_Inventory_Monthly!$G$2:$G$481)</f>
        <v>63</v>
      </c>
      <c r="P37" s="36" t="n">
        <f aca="false">IFERROR(N37/F37,0)</f>
        <v>133.917665867306</v>
      </c>
      <c r="Q37" s="36" t="n">
        <f aca="false">IFERROR((N37+O37)/F37,0)</f>
        <v>152.248601119105</v>
      </c>
      <c r="R37" s="18" t="str">
        <f aca="false">IF(Q37&lt;Assumptions!$C$16*D37,"Stockout Risk",IF(Q37&gt;Assumptions!$C$17*D37,"Overstock","Healthy"))</f>
        <v>Overstock</v>
      </c>
      <c r="S37" s="37" t="n">
        <f aca="false">ROUND(FORECAST(MAX(Raw_Sales_Weekly!$E$1305:$E$1324)+1,Raw_Sales_Weekly!$C$1305:$C$1324,Raw_Sales_Weekly!$E$1305:$E$1324),0)</f>
        <v>54</v>
      </c>
      <c r="T37" s="18" t="str">
        <f aca="false">ABC_XYZ_Classification!L34</f>
        <v>Z</v>
      </c>
      <c r="U37" s="18" t="str">
        <f aca="false">ABC_XYZ_Classification!H34</f>
        <v>C</v>
      </c>
      <c r="V37" s="18" t="str">
        <f aca="false">IF(AND(P37&gt;$F$5,T37="Z"),"Yes","No")</f>
        <v>Yes</v>
      </c>
      <c r="W37" s="19" t="n">
        <f aca="false">N37*E37</f>
        <v>3079.0725</v>
      </c>
      <c r="X37" s="18" t="n">
        <f aca="false">IF(V37="Yes",COUNTIF($V$9:V37,"Yes"),"")</f>
        <v>3</v>
      </c>
    </row>
    <row r="38" customFormat="false" ht="15" hidden="false" customHeight="true" outlineLevel="0" collapsed="false">
      <c r="A38" s="18" t="s">
        <v>258</v>
      </c>
      <c r="B38" s="31" t="str">
        <f aca="false">ABC_XYZ_Classification!B35</f>
        <v>Packaging Materials Item 02 - Packaging Materials</v>
      </c>
      <c r="C38" s="31" t="str">
        <f aca="false">ABC_XYZ_Classification!C35</f>
        <v>Packaging Materials</v>
      </c>
      <c r="D38" s="18" t="n">
        <f aca="false">INDEX(Raw_SKU_Master!$I$2:$I$41,MATCH(A38,Raw_SKU_Master!$A$2:$A$41,0))</f>
        <v>34</v>
      </c>
      <c r="E38" s="30" t="n">
        <f aca="false">INDEX(Raw_SKU_Master!$E$2:$E$41,MATCH(A38,Raw_SKU_Master!$A$2:$A$41,0))</f>
        <v>1.2</v>
      </c>
      <c r="F38" s="36" t="n">
        <f aca="false">ABC_XYZ_Classification!E35/(Assumptions!$C$18*7)</f>
        <v>12.5851648351648</v>
      </c>
      <c r="G38" s="36" t="n">
        <f aca="false">ABC_XYZ_Classification!J35</f>
        <v>23.7788364334796</v>
      </c>
      <c r="H38" s="18" t="n">
        <f aca="false">D38/7</f>
        <v>4.85714285714286</v>
      </c>
      <c r="I38" s="36" t="n">
        <f aca="false">ROUNDUP(Assumptions!$C$6*G38*SQRT(H38),0)</f>
        <v>87</v>
      </c>
      <c r="J38" s="36" t="n">
        <f aca="false">ROUNDUP(F38*D38+I38,0)</f>
        <v>515</v>
      </c>
      <c r="K38" s="36" t="n">
        <f aca="false">ABC_XYZ_Classification!E35</f>
        <v>4581</v>
      </c>
      <c r="L38" s="36" t="n">
        <f aca="false">ROUND(SQRT((2*K38*Assumptions!$C$7)/(E38*Assumptions!$C$8)),0)</f>
        <v>1613</v>
      </c>
      <c r="M38" s="36" t="n">
        <f aca="false">ROUNDUP(L38/Assumptions!$C$9,0)*Assumptions!$C$9</f>
        <v>1625</v>
      </c>
      <c r="N38" s="36" t="n">
        <f aca="false">AVERAGEIF(Raw_Inventory_Monthly!$A$2:$A$481,A38,Raw_Inventory_Monthly!$C$2:$C$481)</f>
        <v>216.416666666667</v>
      </c>
      <c r="O38" s="36" t="n">
        <f aca="false">AVERAGEIF(Raw_Inventory_Monthly!$A$2:$A$481,A38,Raw_Inventory_Monthly!$G$2:$G$481)</f>
        <v>72</v>
      </c>
      <c r="P38" s="36" t="n">
        <f aca="false">IFERROR(N38/F38,0)</f>
        <v>17.1961725969585</v>
      </c>
      <c r="Q38" s="36" t="n">
        <f aca="false">IFERROR((N38+O38)/F38,0)</f>
        <v>22.9171942079604</v>
      </c>
      <c r="R38" s="18" t="str">
        <f aca="false">IF(Q38&lt;Assumptions!$C$16*D38,"Stockout Risk",IF(Q38&gt;Assumptions!$C$17*D38,"Overstock","Healthy"))</f>
        <v>Stockout Risk</v>
      </c>
      <c r="S38" s="37" t="n">
        <f aca="false">ROUND(FORECAST(MAX(Raw_Sales_Weekly!$E$1638:$E$1689)+1,Raw_Sales_Weekly!$C$1638:$C$1689,Raw_Sales_Weekly!$E$1638:$E$1689),0)</f>
        <v>72</v>
      </c>
      <c r="T38" s="18" t="str">
        <f aca="false">ABC_XYZ_Classification!L35</f>
        <v>X</v>
      </c>
      <c r="U38" s="18" t="str">
        <f aca="false">ABC_XYZ_Classification!H35</f>
        <v>C</v>
      </c>
      <c r="V38" s="18" t="str">
        <f aca="false">IF(AND(P38&gt;$F$5,T38="Z"),"Yes","No")</f>
        <v>No</v>
      </c>
      <c r="W38" s="19" t="n">
        <f aca="false">N38*E38</f>
        <v>259.7</v>
      </c>
      <c r="X38" s="18" t="str">
        <f aca="false">IF(V38="Yes",COUNTIF($V$9:V38,"Yes"),"")</f>
        <v/>
      </c>
    </row>
    <row r="39" customFormat="false" ht="15" hidden="false" customHeight="true" outlineLevel="0" collapsed="false">
      <c r="A39" s="18" t="s">
        <v>264</v>
      </c>
      <c r="B39" s="31" t="str">
        <f aca="false">ABC_XYZ_Classification!B36</f>
        <v>Packaging Materials Item 05 - Packaging Materials</v>
      </c>
      <c r="C39" s="31" t="str">
        <f aca="false">ABC_XYZ_Classification!C36</f>
        <v>Packaging Materials</v>
      </c>
      <c r="D39" s="18" t="n">
        <f aca="false">INDEX(Raw_SKU_Master!$I$2:$I$41,MATCH(A39,Raw_SKU_Master!$A$2:$A$41,0))</f>
        <v>16</v>
      </c>
      <c r="E39" s="30" t="n">
        <f aca="false">INDEX(Raw_SKU_Master!$E$2:$E$41,MATCH(A39,Raw_SKU_Master!$A$2:$A$41,0))</f>
        <v>0.96</v>
      </c>
      <c r="F39" s="36" t="n">
        <f aca="false">ABC_XYZ_Classification!E36/(Assumptions!$C$18*7)</f>
        <v>15.3846153846154</v>
      </c>
      <c r="G39" s="36" t="n">
        <f aca="false">ABC_XYZ_Classification!J36</f>
        <v>14.533169570038</v>
      </c>
      <c r="H39" s="18" t="n">
        <f aca="false">D39/7</f>
        <v>2.28571428571429</v>
      </c>
      <c r="I39" s="36" t="n">
        <f aca="false">ROUNDUP(Assumptions!$C$6*G39*SQRT(H39),0)</f>
        <v>37</v>
      </c>
      <c r="J39" s="36" t="n">
        <f aca="false">ROUNDUP(F39*D39+I39,0)</f>
        <v>284</v>
      </c>
      <c r="K39" s="36" t="n">
        <f aca="false">ABC_XYZ_Classification!E36</f>
        <v>5600</v>
      </c>
      <c r="L39" s="36" t="n">
        <f aca="false">ROUND(SQRT((2*K39*Assumptions!$C$7)/(E39*Assumptions!$C$8)),0)</f>
        <v>1994</v>
      </c>
      <c r="M39" s="36" t="n">
        <f aca="false">ROUNDUP(L39/Assumptions!$C$9,0)*Assumptions!$C$9</f>
        <v>2000</v>
      </c>
      <c r="N39" s="36" t="n">
        <f aca="false">AVERAGEIF(Raw_Inventory_Monthly!$A$2:$A$481,A39,Raw_Inventory_Monthly!$C$2:$C$481)</f>
        <v>410.583333333333</v>
      </c>
      <c r="O39" s="36" t="n">
        <f aca="false">AVERAGEIF(Raw_Inventory_Monthly!$A$2:$A$481,A39,Raw_Inventory_Monthly!$G$2:$G$481)</f>
        <v>97.4166666666667</v>
      </c>
      <c r="P39" s="36" t="n">
        <f aca="false">IFERROR(N39/F39,0)</f>
        <v>26.6879166666667</v>
      </c>
      <c r="Q39" s="36" t="n">
        <f aca="false">IFERROR((N39+O39)/F39,0)</f>
        <v>33.02</v>
      </c>
      <c r="R39" s="18" t="str">
        <f aca="false">IF(Q39&lt;Assumptions!$C$16*D39,"Stockout Risk",IF(Q39&gt;Assumptions!$C$17*D39,"Overstock","Healthy"))</f>
        <v>Healthy</v>
      </c>
      <c r="S39" s="37" t="n">
        <f aca="false">ROUND(FORECAST(MAX(Raw_Sales_Weekly!$E$1755:$E$1806)+1,Raw_Sales_Weekly!$C$1755:$C$1806,Raw_Sales_Weekly!$E$1755:$E$1806),0)</f>
        <v>114</v>
      </c>
      <c r="T39" s="18" t="str">
        <f aca="false">ABC_XYZ_Classification!L36</f>
        <v>X</v>
      </c>
      <c r="U39" s="18" t="str">
        <f aca="false">ABC_XYZ_Classification!H36</f>
        <v>C</v>
      </c>
      <c r="V39" s="18" t="str">
        <f aca="false">IF(AND(P39&gt;$F$5,T39="Z"),"Yes","No")</f>
        <v>No</v>
      </c>
      <c r="W39" s="19" t="n">
        <f aca="false">N39*E39</f>
        <v>394.16</v>
      </c>
      <c r="X39" s="18" t="str">
        <f aca="false">IF(V39="Yes",COUNTIF($V$9:V39,"Yes"),"")</f>
        <v/>
      </c>
    </row>
    <row r="40" customFormat="false" ht="15" hidden="false" customHeight="true" outlineLevel="0" collapsed="false">
      <c r="A40" s="18" t="s">
        <v>262</v>
      </c>
      <c r="B40" s="31" t="str">
        <f aca="false">ABC_XYZ_Classification!B37</f>
        <v>Packaging Materials Item 04 - Packaging Materials</v>
      </c>
      <c r="C40" s="31" t="str">
        <f aca="false">ABC_XYZ_Classification!C37</f>
        <v>Packaging Materials</v>
      </c>
      <c r="D40" s="18" t="n">
        <f aca="false">INDEX(Raw_SKU_Master!$I$2:$I$41,MATCH(A40,Raw_SKU_Master!$A$2:$A$41,0))</f>
        <v>17</v>
      </c>
      <c r="E40" s="30" t="n">
        <f aca="false">INDEX(Raw_SKU_Master!$E$2:$E$41,MATCH(A40,Raw_SKU_Master!$A$2:$A$41,0))</f>
        <v>0.53</v>
      </c>
      <c r="F40" s="36" t="n">
        <f aca="false">ABC_XYZ_Classification!E37/(Assumptions!$C$18*7)</f>
        <v>30.0631868131868</v>
      </c>
      <c r="G40" s="36" t="n">
        <f aca="false">ABC_XYZ_Classification!J37</f>
        <v>36.8376967570838</v>
      </c>
      <c r="H40" s="18" t="n">
        <f aca="false">D40/7</f>
        <v>2.42857142857143</v>
      </c>
      <c r="I40" s="36" t="n">
        <f aca="false">ROUNDUP(Assumptions!$C$6*G40*SQRT(H40),0)</f>
        <v>95</v>
      </c>
      <c r="J40" s="36" t="n">
        <f aca="false">ROUNDUP(F40*D40+I40,0)</f>
        <v>607</v>
      </c>
      <c r="K40" s="36" t="n">
        <f aca="false">ABC_XYZ_Classification!E37</f>
        <v>10943</v>
      </c>
      <c r="L40" s="36" t="n">
        <f aca="false">ROUND(SQRT((2*K40*Assumptions!$C$7)/(E40*Assumptions!$C$8)),0)</f>
        <v>3752</v>
      </c>
      <c r="M40" s="36" t="n">
        <f aca="false">ROUNDUP(L40/Assumptions!$C$9,0)*Assumptions!$C$9</f>
        <v>3775</v>
      </c>
      <c r="N40" s="36" t="n">
        <f aca="false">AVERAGEIF(Raw_Inventory_Monthly!$A$2:$A$481,A40,Raw_Inventory_Monthly!$C$2:$C$481)</f>
        <v>826.833333333333</v>
      </c>
      <c r="O40" s="36" t="n">
        <f aca="false">AVERAGEIF(Raw_Inventory_Monthly!$A$2:$A$481,A40,Raw_Inventory_Monthly!$G$2:$G$481)</f>
        <v>180.5</v>
      </c>
      <c r="P40" s="36" t="n">
        <f aca="false">IFERROR(N40/F40,0)</f>
        <v>27.5031831612294</v>
      </c>
      <c r="Q40" s="36" t="n">
        <f aca="false">IFERROR((N40+O40)/F40,0)</f>
        <v>33.5072039964665</v>
      </c>
      <c r="R40" s="18" t="str">
        <f aca="false">IF(Q40&lt;Assumptions!$C$16*D40,"Stockout Risk",IF(Q40&gt;Assumptions!$C$17*D40,"Overstock","Healthy"))</f>
        <v>Healthy</v>
      </c>
      <c r="S40" s="37" t="n">
        <f aca="false">ROUND(FORECAST(MAX(Raw_Sales_Weekly!$E$1703:$E$1754)+1,Raw_Sales_Weekly!$C$1703:$C$1754,Raw_Sales_Weekly!$E$1703:$E$1754),0)</f>
        <v>233</v>
      </c>
      <c r="T40" s="18" t="str">
        <f aca="false">ABC_XYZ_Classification!L37</f>
        <v>X</v>
      </c>
      <c r="U40" s="18" t="str">
        <f aca="false">ABC_XYZ_Classification!H37</f>
        <v>C</v>
      </c>
      <c r="V40" s="18" t="str">
        <f aca="false">IF(AND(P40&gt;$F$5,T40="Z"),"Yes","No")</f>
        <v>No</v>
      </c>
      <c r="W40" s="19" t="n">
        <f aca="false">N40*E40</f>
        <v>438.221666666667</v>
      </c>
      <c r="X40" s="18" t="str">
        <f aca="false">IF(V40="Yes",COUNTIF($V$9:V40,"Yes"),"")</f>
        <v/>
      </c>
    </row>
    <row r="41" customFormat="false" ht="15" hidden="false" customHeight="true" outlineLevel="0" collapsed="false">
      <c r="A41" s="18" t="s">
        <v>221</v>
      </c>
      <c r="B41" s="31" t="str">
        <f aca="false">ABC_XYZ_Classification!B38</f>
        <v>Seals Item 03 - Seals &amp; Gaskets</v>
      </c>
      <c r="C41" s="31" t="str">
        <f aca="false">ABC_XYZ_Classification!C38</f>
        <v>Seals &amp; Gaskets</v>
      </c>
      <c r="D41" s="18" t="n">
        <f aca="false">INDEX(Raw_SKU_Master!$I$2:$I$41,MATCH(A41,Raw_SKU_Master!$A$2:$A$41,0))</f>
        <v>50</v>
      </c>
      <c r="E41" s="30" t="n">
        <f aca="false">INDEX(Raw_SKU_Master!$E$2:$E$41,MATCH(A41,Raw_SKU_Master!$A$2:$A$41,0))</f>
        <v>1.41</v>
      </c>
      <c r="F41" s="36" t="n">
        <f aca="false">ABC_XYZ_Classification!E38/(Assumptions!$C$18*7)</f>
        <v>13.3681318681319</v>
      </c>
      <c r="G41" s="36" t="n">
        <f aca="false">ABC_XYZ_Classification!J38</f>
        <v>21.0241126711561</v>
      </c>
      <c r="H41" s="18" t="n">
        <f aca="false">D41/7</f>
        <v>7.14285714285714</v>
      </c>
      <c r="I41" s="36" t="n">
        <f aca="false">ROUNDUP(Assumptions!$C$6*G41*SQRT(H41),0)</f>
        <v>93</v>
      </c>
      <c r="J41" s="36" t="n">
        <f aca="false">ROUNDUP(F41*D41+I41,0)</f>
        <v>762</v>
      </c>
      <c r="K41" s="36" t="n">
        <f aca="false">ABC_XYZ_Classification!E38</f>
        <v>4866</v>
      </c>
      <c r="L41" s="36" t="n">
        <f aca="false">ROUND(SQRT((2*K41*Assumptions!$C$7)/(E41*Assumptions!$C$8)),0)</f>
        <v>1534</v>
      </c>
      <c r="M41" s="36" t="n">
        <f aca="false">ROUNDUP(L41/Assumptions!$C$9,0)*Assumptions!$C$9</f>
        <v>1550</v>
      </c>
      <c r="N41" s="36" t="n">
        <f aca="false">AVERAGEIF(Raw_Inventory_Monthly!$A$2:$A$481,A41,Raw_Inventory_Monthly!$C$2:$C$481)</f>
        <v>181.416666666667</v>
      </c>
      <c r="O41" s="36" t="n">
        <f aca="false">AVERAGEIF(Raw_Inventory_Monthly!$A$2:$A$481,A41,Raw_Inventory_Monthly!$G$2:$G$481)</f>
        <v>57.4166666666667</v>
      </c>
      <c r="P41" s="36" t="n">
        <f aca="false">IFERROR(N41/F41,0)</f>
        <v>13.57083162077</v>
      </c>
      <c r="Q41" s="36" t="n">
        <f aca="false">IFERROR((N41+O41)/F41,0)</f>
        <v>17.8658720372654</v>
      </c>
      <c r="R41" s="18" t="str">
        <f aca="false">IF(Q41&lt;Assumptions!$C$16*D41,"Stockout Risk",IF(Q41&gt;Assumptions!$C$17*D41,"Overstock","Healthy"))</f>
        <v>Stockout Risk</v>
      </c>
      <c r="S41" s="37" t="n">
        <f aca="false">ROUND(FORECAST(MAX(Raw_Sales_Weekly!$E$996:$E$1047)+1,Raw_Sales_Weekly!$C$996:$C$1047,Raw_Sales_Weekly!$E$996:$E$1047),0)</f>
        <v>86</v>
      </c>
      <c r="T41" s="18" t="str">
        <f aca="false">ABC_XYZ_Classification!L38</f>
        <v>X</v>
      </c>
      <c r="U41" s="18" t="str">
        <f aca="false">ABC_XYZ_Classification!H38</f>
        <v>C</v>
      </c>
      <c r="V41" s="18" t="str">
        <f aca="false">IF(AND(P41&gt;$F$5,T41="Z"),"Yes","No")</f>
        <v>No</v>
      </c>
      <c r="W41" s="19" t="n">
        <f aca="false">N41*E41</f>
        <v>255.7975</v>
      </c>
      <c r="X41" s="18" t="str">
        <f aca="false">IF(V41="Yes",COUNTIF($V$9:V41,"Yes"),"")</f>
        <v/>
      </c>
    </row>
    <row r="42" customFormat="false" ht="15" hidden="false" customHeight="true" outlineLevel="0" collapsed="false">
      <c r="A42" s="18" t="s">
        <v>178</v>
      </c>
      <c r="B42" s="31" t="str">
        <f aca="false">ABC_XYZ_Classification!B39</f>
        <v>Bearings Item 02 - Bearings &amp; Bushings</v>
      </c>
      <c r="C42" s="31" t="str">
        <f aca="false">ABC_XYZ_Classification!C39</f>
        <v>Bearings &amp; Bushings</v>
      </c>
      <c r="D42" s="18" t="n">
        <f aca="false">INDEX(Raw_SKU_Master!$I$2:$I$41,MATCH(A42,Raw_SKU_Master!$A$2:$A$41,0))</f>
        <v>126</v>
      </c>
      <c r="E42" s="30" t="n">
        <f aca="false">INDEX(Raw_SKU_Master!$E$2:$E$41,MATCH(A42,Raw_SKU_Master!$A$2:$A$41,0))</f>
        <v>3.9</v>
      </c>
      <c r="F42" s="36" t="n">
        <f aca="false">ABC_XYZ_Classification!E39/(Assumptions!$C$18*7)</f>
        <v>4.41208791208791</v>
      </c>
      <c r="G42" s="36" t="n">
        <f aca="false">ABC_XYZ_Classification!J39</f>
        <v>47.1682096331841</v>
      </c>
      <c r="H42" s="18" t="n">
        <f aca="false">D42/7</f>
        <v>18</v>
      </c>
      <c r="I42" s="36" t="n">
        <f aca="false">ROUNDUP(Assumptions!$C$6*G42*SQRT(H42),0)</f>
        <v>331</v>
      </c>
      <c r="J42" s="36" t="n">
        <f aca="false">ROUNDUP(F42*D42+I42,0)</f>
        <v>887</v>
      </c>
      <c r="K42" s="36" t="n">
        <f aca="false">ABC_XYZ_Classification!E39</f>
        <v>1606</v>
      </c>
      <c r="L42" s="36" t="n">
        <f aca="false">ROUND(SQRT((2*K42*Assumptions!$C$7)/(E42*Assumptions!$C$8)),0)</f>
        <v>530</v>
      </c>
      <c r="M42" s="36" t="n">
        <f aca="false">ROUNDUP(L42/Assumptions!$C$9,0)*Assumptions!$C$9</f>
        <v>550</v>
      </c>
      <c r="N42" s="36" t="n">
        <f aca="false">AVERAGEIF(Raw_Inventory_Monthly!$A$2:$A$481,A42,Raw_Inventory_Monthly!$C$2:$C$481)</f>
        <v>736</v>
      </c>
      <c r="O42" s="36" t="n">
        <f aca="false">AVERAGEIF(Raw_Inventory_Monthly!$A$2:$A$481,A42,Raw_Inventory_Monthly!$G$2:$G$481)</f>
        <v>179.333333333333</v>
      </c>
      <c r="P42" s="36" t="n">
        <f aca="false">IFERROR(N42/F42,0)</f>
        <v>166.814445828144</v>
      </c>
      <c r="Q42" s="36" t="n">
        <f aca="false">IFERROR((N42+O42)/F42,0)</f>
        <v>207.460356994604</v>
      </c>
      <c r="R42" s="18" t="str">
        <f aca="false">IF(Q42&lt;Assumptions!$C$16*D42,"Stockout Risk",IF(Q42&gt;Assumptions!$C$17*D42,"Overstock","Healthy"))</f>
        <v>Healthy</v>
      </c>
      <c r="S42" s="37" t="n">
        <f aca="false">ROUND(FORECAST(MAX(Raw_Sales_Weekly!$E$274:$E$283)+1,Raw_Sales_Weekly!$C$274:$C$283,Raw_Sales_Weekly!$E$274:$E$283),0)</f>
        <v>177</v>
      </c>
      <c r="T42" s="18" t="str">
        <f aca="false">ABC_XYZ_Classification!L39</f>
        <v>X</v>
      </c>
      <c r="U42" s="18" t="str">
        <f aca="false">ABC_XYZ_Classification!H39</f>
        <v>C</v>
      </c>
      <c r="V42" s="18" t="str">
        <f aca="false">IF(AND(P42&gt;$F$5,T42="Z"),"Yes","No")</f>
        <v>No</v>
      </c>
      <c r="W42" s="19" t="n">
        <f aca="false">N42*E42</f>
        <v>2870.4</v>
      </c>
      <c r="X42" s="18" t="str">
        <f aca="false">IF(V42="Yes",COUNTIF($V$9:V42,"Yes"),"")</f>
        <v/>
      </c>
    </row>
    <row r="43" customFormat="false" ht="15" hidden="false" customHeight="true" outlineLevel="0" collapsed="false">
      <c r="A43" s="18" t="s">
        <v>167</v>
      </c>
      <c r="B43" s="31" t="str">
        <f aca="false">ABC_XYZ_Classification!B40</f>
        <v>Fasteners Item 04 - Fasteners &amp; Hardware</v>
      </c>
      <c r="C43" s="31" t="str">
        <f aca="false">ABC_XYZ_Classification!C40</f>
        <v>Fasteners &amp; Hardware</v>
      </c>
      <c r="D43" s="18" t="n">
        <f aca="false">INDEX(Raw_SKU_Master!$I$2:$I$41,MATCH(A43,Raw_SKU_Master!$A$2:$A$41,0))</f>
        <v>52</v>
      </c>
      <c r="E43" s="30" t="n">
        <f aca="false">INDEX(Raw_SKU_Master!$E$2:$E$41,MATCH(A43,Raw_SKU_Master!$A$2:$A$41,0))</f>
        <v>2.56</v>
      </c>
      <c r="F43" s="36" t="n">
        <f aca="false">ABC_XYZ_Classification!E40/(Assumptions!$C$18*7)</f>
        <v>5.42857142857143</v>
      </c>
      <c r="G43" s="36" t="n">
        <f aca="false">ABC_XYZ_Classification!J40</f>
        <v>116.863405544916</v>
      </c>
      <c r="H43" s="18" t="n">
        <f aca="false">D43/7</f>
        <v>7.42857142857143</v>
      </c>
      <c r="I43" s="36" t="n">
        <f aca="false">ROUNDUP(Assumptions!$C$6*G43*SQRT(H43),0)</f>
        <v>526</v>
      </c>
      <c r="J43" s="36" t="n">
        <f aca="false">ROUNDUP(F43*D43+I43,0)</f>
        <v>809</v>
      </c>
      <c r="K43" s="36" t="n">
        <f aca="false">ABC_XYZ_Classification!E40</f>
        <v>1976</v>
      </c>
      <c r="L43" s="36" t="n">
        <f aca="false">ROUND(SQRT((2*K43*Assumptions!$C$7)/(E43*Assumptions!$C$8)),0)</f>
        <v>725</v>
      </c>
      <c r="M43" s="36" t="n">
        <f aca="false">ROUNDUP(L43/Assumptions!$C$9,0)*Assumptions!$C$9</f>
        <v>725</v>
      </c>
      <c r="N43" s="36" t="n">
        <f aca="false">AVERAGEIF(Raw_Inventory_Monthly!$A$2:$A$481,A43,Raw_Inventory_Monthly!$C$2:$C$481)</f>
        <v>1905.75</v>
      </c>
      <c r="O43" s="36" t="n">
        <f aca="false">AVERAGEIF(Raw_Inventory_Monthly!$A$2:$A$481,A43,Raw_Inventory_Monthly!$G$2:$G$481)</f>
        <v>136.416666666667</v>
      </c>
      <c r="P43" s="36" t="n">
        <f aca="false">IFERROR(N43/F43,0)</f>
        <v>351.059210526316</v>
      </c>
      <c r="Q43" s="36" t="n">
        <f aca="false">IFERROR((N43+O43)/F43,0)</f>
        <v>376.188596491228</v>
      </c>
      <c r="R43" s="18" t="str">
        <f aca="false">IF(Q43&lt;Assumptions!$C$16*D43,"Stockout Risk",IF(Q43&gt;Assumptions!$C$17*D43,"Overstock","Healthy"))</f>
        <v>Overstock</v>
      </c>
      <c r="S43" s="37" t="n">
        <f aca="false">ROUND(FORECAST(MAX(Raw_Sales_Weekly!$E$158:$E$169)+1,Raw_Sales_Weekly!$C$158:$C$169,Raw_Sales_Weekly!$E$158:$E$169),0)</f>
        <v>77</v>
      </c>
      <c r="T43" s="18" t="str">
        <f aca="false">ABC_XYZ_Classification!L40</f>
        <v>Z</v>
      </c>
      <c r="U43" s="18" t="str">
        <f aca="false">ABC_XYZ_Classification!H40</f>
        <v>C</v>
      </c>
      <c r="V43" s="18" t="str">
        <f aca="false">IF(AND(P43&gt;$F$5,T43="Z"),"Yes","No")</f>
        <v>Yes</v>
      </c>
      <c r="W43" s="19" t="n">
        <f aca="false">N43*E43</f>
        <v>4878.72</v>
      </c>
      <c r="X43" s="18" t="n">
        <f aca="false">IF(V43="Yes",COUNTIF($V$9:V43,"Yes"),"")</f>
        <v>4</v>
      </c>
    </row>
    <row r="44" customFormat="false" ht="15" hidden="false" customHeight="true" outlineLevel="0" collapsed="false">
      <c r="A44" s="18" t="s">
        <v>226</v>
      </c>
      <c r="B44" s="31" t="str">
        <f aca="false">ABC_XYZ_Classification!B41</f>
        <v>Seals Item 05 - Seals &amp; Gaskets</v>
      </c>
      <c r="C44" s="31" t="str">
        <f aca="false">ABC_XYZ_Classification!C41</f>
        <v>Seals &amp; Gaskets</v>
      </c>
      <c r="D44" s="18" t="n">
        <f aca="false">INDEX(Raw_SKU_Master!$I$2:$I$41,MATCH(A44,Raw_SKU_Master!$A$2:$A$41,0))</f>
        <v>34</v>
      </c>
      <c r="E44" s="30" t="n">
        <f aca="false">INDEX(Raw_SKU_Master!$E$2:$E$41,MATCH(A44,Raw_SKU_Master!$A$2:$A$41,0))</f>
        <v>1.42</v>
      </c>
      <c r="F44" s="36" t="n">
        <f aca="false">ABC_XYZ_Classification!E41/(Assumptions!$C$18*7)</f>
        <v>10.489010989011</v>
      </c>
      <c r="G44" s="36" t="n">
        <f aca="false">ABC_XYZ_Classification!J41</f>
        <v>23.7181739421046</v>
      </c>
      <c r="H44" s="18" t="n">
        <f aca="false">D44/7</f>
        <v>4.85714285714286</v>
      </c>
      <c r="I44" s="36" t="n">
        <f aca="false">ROUNDUP(Assumptions!$C$6*G44*SQRT(H44),0)</f>
        <v>87</v>
      </c>
      <c r="J44" s="36" t="n">
        <f aca="false">ROUNDUP(F44*D44+I44,0)</f>
        <v>444</v>
      </c>
      <c r="K44" s="36" t="n">
        <f aca="false">ABC_XYZ_Classification!E41</f>
        <v>3818</v>
      </c>
      <c r="L44" s="36" t="n">
        <f aca="false">ROUND(SQRT((2*K44*Assumptions!$C$7)/(E44*Assumptions!$C$8)),0)</f>
        <v>1354</v>
      </c>
      <c r="M44" s="36" t="n">
        <f aca="false">ROUNDUP(L44/Assumptions!$C$9,0)*Assumptions!$C$9</f>
        <v>1375</v>
      </c>
      <c r="N44" s="36" t="n">
        <f aca="false">AVERAGEIF(Raw_Inventory_Monthly!$A$2:$A$481,A44,Raw_Inventory_Monthly!$C$2:$C$481)</f>
        <v>262.333333333333</v>
      </c>
      <c r="O44" s="36" t="n">
        <f aca="false">AVERAGEIF(Raw_Inventory_Monthly!$A$2:$A$481,A44,Raw_Inventory_Monthly!$G$2:$G$481)</f>
        <v>75.75</v>
      </c>
      <c r="P44" s="36" t="n">
        <f aca="false">IFERROR(N44/F44,0)</f>
        <v>25.0103020778767</v>
      </c>
      <c r="Q44" s="36" t="n">
        <f aca="false">IFERROR((N44+O44)/F44,0)</f>
        <v>32.2321459752052</v>
      </c>
      <c r="R44" s="18" t="str">
        <f aca="false">IF(Q44&lt;Assumptions!$C$16*D44,"Stockout Risk",IF(Q44&gt;Assumptions!$C$17*D44,"Overstock","Healthy"))</f>
        <v>Stockout Risk</v>
      </c>
      <c r="S44" s="37" t="n">
        <f aca="false">ROUND(FORECAST(MAX(Raw_Sales_Weekly!$E$1100:$E$1151)+1,Raw_Sales_Weekly!$C$1100:$C$1151,Raw_Sales_Weekly!$E$1100:$E$1151),0)</f>
        <v>52</v>
      </c>
      <c r="T44" s="18" t="str">
        <f aca="false">ABC_XYZ_Classification!L41</f>
        <v>Y</v>
      </c>
      <c r="U44" s="18" t="str">
        <f aca="false">ABC_XYZ_Classification!H41</f>
        <v>C</v>
      </c>
      <c r="V44" s="18" t="str">
        <f aca="false">IF(AND(P44&gt;$F$5,T44="Z"),"Yes","No")</f>
        <v>No</v>
      </c>
      <c r="W44" s="19" t="n">
        <f aca="false">N44*E44</f>
        <v>372.513333333333</v>
      </c>
      <c r="X44" s="18" t="str">
        <f aca="false">IF(V44="Yes",COUNTIF($V$9:V44,"Yes"),"")</f>
        <v/>
      </c>
    </row>
    <row r="45" customFormat="false" ht="15" hidden="false" customHeight="true" outlineLevel="0" collapsed="false">
      <c r="A45" s="18" t="s">
        <v>245</v>
      </c>
      <c r="B45" s="31" t="str">
        <f aca="false">ABC_XYZ_Classification!B42</f>
        <v>Raw Material Item 02 - Raw Material - Metal Stock</v>
      </c>
      <c r="C45" s="31" t="str">
        <f aca="false">ABC_XYZ_Classification!C42</f>
        <v>Raw Material - Metal Stock</v>
      </c>
      <c r="D45" s="18" t="n">
        <f aca="false">INDEX(Raw_SKU_Master!$I$2:$I$41,MATCH(A45,Raw_SKU_Master!$A$2:$A$41,0))</f>
        <v>68</v>
      </c>
      <c r="E45" s="30" t="n">
        <f aca="false">INDEX(Raw_SKU_Master!$E$2:$E$41,MATCH(A45,Raw_SKU_Master!$A$2:$A$41,0))</f>
        <v>19.22</v>
      </c>
      <c r="F45" s="36" t="n">
        <f aca="false">ABC_XYZ_Classification!E42/(Assumptions!$C$18*7)</f>
        <v>0.79945054945055</v>
      </c>
      <c r="G45" s="36" t="n">
        <f aca="false">ABC_XYZ_Classification!J42</f>
        <v>7.52063827078527</v>
      </c>
      <c r="H45" s="18" t="n">
        <f aca="false">D45/7</f>
        <v>9.71428571428571</v>
      </c>
      <c r="I45" s="36" t="n">
        <f aca="false">ROUNDUP(Assumptions!$C$6*G45*SQRT(H45),0)</f>
        <v>39</v>
      </c>
      <c r="J45" s="36" t="n">
        <f aca="false">ROUNDUP(F45*D45+I45,0)</f>
        <v>94</v>
      </c>
      <c r="K45" s="36" t="n">
        <f aca="false">ABC_XYZ_Classification!E42</f>
        <v>291</v>
      </c>
      <c r="L45" s="36" t="n">
        <f aca="false">ROUND(SQRT((2*K45*Assumptions!$C$7)/(E45*Assumptions!$C$8)),0)</f>
        <v>102</v>
      </c>
      <c r="M45" s="36" t="n">
        <f aca="false">ROUNDUP(L45/Assumptions!$C$9,0)*Assumptions!$C$9</f>
        <v>125</v>
      </c>
      <c r="N45" s="36" t="n">
        <f aca="false">AVERAGEIF(Raw_Inventory_Monthly!$A$2:$A$481,A45,Raw_Inventory_Monthly!$C$2:$C$481)</f>
        <v>121.083333333333</v>
      </c>
      <c r="O45" s="36" t="n">
        <f aca="false">AVERAGEIF(Raw_Inventory_Monthly!$A$2:$A$481,A45,Raw_Inventory_Monthly!$G$2:$G$481)</f>
        <v>72.25</v>
      </c>
      <c r="P45" s="36" t="n">
        <f aca="false">IFERROR(N45/F45,0)</f>
        <v>151.458190148912</v>
      </c>
      <c r="Q45" s="36" t="n">
        <f aca="false">IFERROR((N45+O45)/F45,0)</f>
        <v>241.832760595647</v>
      </c>
      <c r="R45" s="18" t="str">
        <f aca="false">IF(Q45&lt;Assumptions!$C$16*D45,"Stockout Risk",IF(Q45&gt;Assumptions!$C$17*D45,"Overstock","Healthy"))</f>
        <v>Overstock</v>
      </c>
      <c r="S45" s="37" t="n">
        <f aca="false">ROUND(FORECAST(MAX(Raw_Sales_Weekly!$E$1428:$E$1432)+1,Raw_Sales_Weekly!$C$1428:$C$1432,Raw_Sales_Weekly!$E$1428:$E$1432),0)</f>
        <v>52</v>
      </c>
      <c r="T45" s="18" t="str">
        <f aca="false">ABC_XYZ_Classification!L42</f>
        <v>X</v>
      </c>
      <c r="U45" s="18" t="str">
        <f aca="false">ABC_XYZ_Classification!H42</f>
        <v>C</v>
      </c>
      <c r="V45" s="18" t="str">
        <f aca="false">IF(AND(P45&gt;$F$5,T45="Z"),"Yes","No")</f>
        <v>No</v>
      </c>
      <c r="W45" s="19" t="n">
        <f aca="false">N45*E45</f>
        <v>2327.22166666667</v>
      </c>
      <c r="X45" s="18" t="str">
        <f aca="false">IF(V45="Yes",COUNTIF($V$9:V45,"Yes"),"")</f>
        <v/>
      </c>
    </row>
    <row r="46" customFormat="false" ht="15" hidden="false" customHeight="true" outlineLevel="0" collapsed="false">
      <c r="A46" s="18" t="s">
        <v>223</v>
      </c>
      <c r="B46" s="31" t="str">
        <f aca="false">ABC_XYZ_Classification!B43</f>
        <v>Seals Item 04 - Seals &amp; Gaskets</v>
      </c>
      <c r="C46" s="31" t="str">
        <f aca="false">ABC_XYZ_Classification!C43</f>
        <v>Seals &amp; Gaskets</v>
      </c>
      <c r="D46" s="18" t="n">
        <f aca="false">INDEX(Raw_SKU_Master!$I$2:$I$41,MATCH(A46,Raw_SKU_Master!$A$2:$A$41,0))</f>
        <v>53</v>
      </c>
      <c r="E46" s="30" t="n">
        <f aca="false">INDEX(Raw_SKU_Master!$E$2:$E$41,MATCH(A46,Raw_SKU_Master!$A$2:$A$41,0))</f>
        <v>0.97</v>
      </c>
      <c r="F46" s="36" t="n">
        <f aca="false">ABC_XYZ_Classification!E43/(Assumptions!$C$18*7)</f>
        <v>12.0494505494506</v>
      </c>
      <c r="G46" s="36" t="n">
        <f aca="false">ABC_XYZ_Classification!J43</f>
        <v>15.7222094446832</v>
      </c>
      <c r="H46" s="18" t="n">
        <f aca="false">D46/7</f>
        <v>7.57142857142857</v>
      </c>
      <c r="I46" s="36" t="n">
        <f aca="false">ROUNDUP(Assumptions!$C$6*G46*SQRT(H46),0)</f>
        <v>72</v>
      </c>
      <c r="J46" s="36" t="n">
        <f aca="false">ROUNDUP(F46*D46+I46,0)</f>
        <v>711</v>
      </c>
      <c r="K46" s="36" t="n">
        <f aca="false">ABC_XYZ_Classification!E43</f>
        <v>4386</v>
      </c>
      <c r="L46" s="36" t="n">
        <f aca="false">ROUND(SQRT((2*K46*Assumptions!$C$7)/(E46*Assumptions!$C$8)),0)</f>
        <v>1756</v>
      </c>
      <c r="M46" s="36" t="n">
        <f aca="false">ROUNDUP(L46/Assumptions!$C$9,0)*Assumptions!$C$9</f>
        <v>1775</v>
      </c>
      <c r="N46" s="36" t="n">
        <f aca="false">AVERAGEIF(Raw_Inventory_Monthly!$A$2:$A$481,A46,Raw_Inventory_Monthly!$C$2:$C$481)</f>
        <v>315.583333333333</v>
      </c>
      <c r="O46" s="36" t="n">
        <f aca="false">AVERAGEIF(Raw_Inventory_Monthly!$A$2:$A$481,A46,Raw_Inventory_Monthly!$G$2:$G$481)</f>
        <v>93</v>
      </c>
      <c r="P46" s="36" t="n">
        <f aca="false">IFERROR(N46/F46,0)</f>
        <v>26.1906824745402</v>
      </c>
      <c r="Q46" s="36" t="n">
        <f aca="false">IFERROR((N46+O46)/F46,0)</f>
        <v>33.9088767289862</v>
      </c>
      <c r="R46" s="18" t="str">
        <f aca="false">IF(Q46&lt;Assumptions!$C$16*D46,"Stockout Risk",IF(Q46&gt;Assumptions!$C$17*D46,"Overstock","Healthy"))</f>
        <v>Stockout Risk</v>
      </c>
      <c r="S46" s="37" t="n">
        <f aca="false">ROUND(FORECAST(MAX(Raw_Sales_Weekly!$E$1048:$E$1099)+1,Raw_Sales_Weekly!$C$1048:$C$1099,Raw_Sales_Weekly!$E$1048:$E$1099),0)</f>
        <v>89</v>
      </c>
      <c r="T46" s="18" t="str">
        <f aca="false">ABC_XYZ_Classification!L43</f>
        <v>X</v>
      </c>
      <c r="U46" s="18" t="str">
        <f aca="false">ABC_XYZ_Classification!H43</f>
        <v>C</v>
      </c>
      <c r="V46" s="18" t="str">
        <f aca="false">IF(AND(P46&gt;$F$5,T46="Z"),"Yes","No")</f>
        <v>No</v>
      </c>
      <c r="W46" s="19" t="n">
        <f aca="false">N46*E46</f>
        <v>306.115833333333</v>
      </c>
      <c r="X46" s="18" t="str">
        <f aca="false">IF(V46="Yes",COUNTIF($V$9:V46,"Yes"),"")</f>
        <v/>
      </c>
    </row>
    <row r="47" customFormat="false" ht="15" hidden="false" customHeight="true" outlineLevel="0" collapsed="false">
      <c r="A47" s="18" t="s">
        <v>219</v>
      </c>
      <c r="B47" s="31" t="str">
        <f aca="false">ABC_XYZ_Classification!B44</f>
        <v>Seals Item 02 - Seals &amp; Gaskets</v>
      </c>
      <c r="C47" s="31" t="str">
        <f aca="false">ABC_XYZ_Classification!C44</f>
        <v>Seals &amp; Gaskets</v>
      </c>
      <c r="D47" s="18" t="n">
        <f aca="false">INDEX(Raw_SKU_Master!$I$2:$I$41,MATCH(A47,Raw_SKU_Master!$A$2:$A$41,0))</f>
        <v>36</v>
      </c>
      <c r="E47" s="30" t="n">
        <f aca="false">INDEX(Raw_SKU_Master!$E$2:$E$41,MATCH(A47,Raw_SKU_Master!$A$2:$A$41,0))</f>
        <v>0.94</v>
      </c>
      <c r="F47" s="36" t="n">
        <f aca="false">ABC_XYZ_Classification!E44/(Assumptions!$C$18*7)</f>
        <v>9.56593406593407</v>
      </c>
      <c r="G47" s="36" t="n">
        <f aca="false">ABC_XYZ_Classification!J44</f>
        <v>14.4621010528867</v>
      </c>
      <c r="H47" s="18" t="n">
        <f aca="false">D47/7</f>
        <v>5.14285714285714</v>
      </c>
      <c r="I47" s="36" t="n">
        <f aca="false">ROUNDUP(Assumptions!$C$6*G47*SQRT(H47),0)</f>
        <v>55</v>
      </c>
      <c r="J47" s="36" t="n">
        <f aca="false">ROUNDUP(F47*D47+I47,0)</f>
        <v>400</v>
      </c>
      <c r="K47" s="36" t="n">
        <f aca="false">ABC_XYZ_Classification!E44</f>
        <v>3482</v>
      </c>
      <c r="L47" s="36" t="n">
        <f aca="false">ROUND(SQRT((2*K47*Assumptions!$C$7)/(E47*Assumptions!$C$8)),0)</f>
        <v>1589</v>
      </c>
      <c r="M47" s="36" t="n">
        <f aca="false">ROUNDUP(L47/Assumptions!$C$9,0)*Assumptions!$C$9</f>
        <v>1600</v>
      </c>
      <c r="N47" s="36" t="n">
        <f aca="false">AVERAGEIF(Raw_Inventory_Monthly!$A$2:$A$481,A47,Raw_Inventory_Monthly!$C$2:$C$481)</f>
        <v>236.166666666667</v>
      </c>
      <c r="O47" s="36" t="n">
        <f aca="false">AVERAGEIF(Raw_Inventory_Monthly!$A$2:$A$481,A47,Raw_Inventory_Monthly!$G$2:$G$481)</f>
        <v>58.6666666666667</v>
      </c>
      <c r="P47" s="36" t="n">
        <f aca="false">IFERROR(N47/F47,0)</f>
        <v>24.6883017422937</v>
      </c>
      <c r="Q47" s="36" t="n">
        <f aca="false">IFERROR((N47+O47)/F47,0)</f>
        <v>30.821175569596</v>
      </c>
      <c r="R47" s="18" t="str">
        <f aca="false">IF(Q47&lt;Assumptions!$C$16*D47,"Stockout Risk",IF(Q47&gt;Assumptions!$C$17*D47,"Overstock","Healthy"))</f>
        <v>Stockout Risk</v>
      </c>
      <c r="S47" s="37" t="n">
        <f aca="false">ROUND(FORECAST(MAX(Raw_Sales_Weekly!$E$944:$E$995)+1,Raw_Sales_Weekly!$C$944:$C$995,Raw_Sales_Weekly!$E$944:$E$995),0)</f>
        <v>73</v>
      </c>
      <c r="T47" s="18" t="str">
        <f aca="false">ABC_XYZ_Classification!L44</f>
        <v>X</v>
      </c>
      <c r="U47" s="18" t="str">
        <f aca="false">ABC_XYZ_Classification!H44</f>
        <v>C</v>
      </c>
      <c r="V47" s="18" t="str">
        <f aca="false">IF(AND(P47&gt;$F$5,T47="Z"),"Yes","No")</f>
        <v>No</v>
      </c>
      <c r="W47" s="19" t="n">
        <f aca="false">N47*E47</f>
        <v>221.996666666667</v>
      </c>
      <c r="X47" s="18" t="str">
        <f aca="false">IF(V47="Yes",COUNTIF($V$9:V47,"Yes"),"")</f>
        <v/>
      </c>
    </row>
    <row r="48" customFormat="false" ht="15" hidden="false" customHeight="true" outlineLevel="0" collapsed="false">
      <c r="A48" s="18" t="s">
        <v>260</v>
      </c>
      <c r="B48" s="31" t="str">
        <f aca="false">ABC_XYZ_Classification!B45</f>
        <v>Packaging Materials Item 03 - Packaging Materials</v>
      </c>
      <c r="C48" s="31" t="str">
        <f aca="false">ABC_XYZ_Classification!C45</f>
        <v>Packaging Materials</v>
      </c>
      <c r="D48" s="18" t="n">
        <f aca="false">INDEX(Raw_SKU_Master!$I$2:$I$41,MATCH(A48,Raw_SKU_Master!$A$2:$A$41,0))</f>
        <v>23</v>
      </c>
      <c r="E48" s="30" t="n">
        <f aca="false">INDEX(Raw_SKU_Master!$E$2:$E$41,MATCH(A48,Raw_SKU_Master!$A$2:$A$41,0))</f>
        <v>0.78</v>
      </c>
      <c r="F48" s="36" t="n">
        <f aca="false">ABC_XYZ_Classification!E45/(Assumptions!$C$18*7)</f>
        <v>3.21153846153846</v>
      </c>
      <c r="G48" s="36" t="n">
        <f aca="false">ABC_XYZ_Classification!J45</f>
        <v>7.76046725854867</v>
      </c>
      <c r="H48" s="18" t="n">
        <f aca="false">D48/7</f>
        <v>3.28571428571429</v>
      </c>
      <c r="I48" s="36" t="n">
        <f aca="false">ROUNDUP(Assumptions!$C$6*G48*SQRT(H48),0)</f>
        <v>24</v>
      </c>
      <c r="J48" s="36" t="n">
        <f aca="false">ROUNDUP(F48*D48+I48,0)</f>
        <v>98</v>
      </c>
      <c r="K48" s="36" t="n">
        <f aca="false">ABC_XYZ_Classification!E45</f>
        <v>1169</v>
      </c>
      <c r="L48" s="36" t="n">
        <f aca="false">ROUND(SQRT((2*K48*Assumptions!$C$7)/(E48*Assumptions!$C$8)),0)</f>
        <v>1011</v>
      </c>
      <c r="M48" s="36" t="n">
        <f aca="false">ROUNDUP(L48/Assumptions!$C$9,0)*Assumptions!$C$9</f>
        <v>1025</v>
      </c>
      <c r="N48" s="36" t="n">
        <f aca="false">AVERAGEIF(Raw_Inventory_Monthly!$A$2:$A$481,A48,Raw_Inventory_Monthly!$C$2:$C$481)</f>
        <v>190</v>
      </c>
      <c r="O48" s="36" t="n">
        <f aca="false">AVERAGEIF(Raw_Inventory_Monthly!$A$2:$A$481,A48,Raw_Inventory_Monthly!$G$2:$G$481)</f>
        <v>56.1666666666667</v>
      </c>
      <c r="P48" s="36" t="n">
        <f aca="false">IFERROR(N48/F48,0)</f>
        <v>59.1616766467066</v>
      </c>
      <c r="Q48" s="36" t="n">
        <f aca="false">IFERROR((N48+O48)/F48,0)</f>
        <v>76.6506986027944</v>
      </c>
      <c r="R48" s="18" t="str">
        <f aca="false">IF(Q48&lt;Assumptions!$C$16*D48,"Stockout Risk",IF(Q48&gt;Assumptions!$C$17*D48,"Overstock","Healthy"))</f>
        <v>Overstock</v>
      </c>
      <c r="S48" s="37" t="n">
        <f aca="false">ROUND(FORECAST(MAX(Raw_Sales_Weekly!$E$1690:$E$1702)+1,Raw_Sales_Weekly!$C$1690:$C$1702,Raw_Sales_Weekly!$E$1690:$E$1702),0)</f>
        <v>91</v>
      </c>
      <c r="T48" s="18" t="str">
        <f aca="false">ABC_XYZ_Classification!L45</f>
        <v>X</v>
      </c>
      <c r="U48" s="18" t="str">
        <f aca="false">ABC_XYZ_Classification!H45</f>
        <v>C</v>
      </c>
      <c r="V48" s="18" t="str">
        <f aca="false">IF(AND(P48&gt;$F$5,T48="Z"),"Yes","No")</f>
        <v>No</v>
      </c>
      <c r="W48" s="19" t="n">
        <f aca="false">N48*E48</f>
        <v>148.2</v>
      </c>
      <c r="X48" s="18" t="str">
        <f aca="false">IF(V48="Yes",COUNTIF($V$9:V48,"Yes"),"")</f>
        <v/>
      </c>
    </row>
  </sheetData>
  <conditionalFormatting sqref="R9:R48">
    <cfRule type="cellIs" priority="2" operator="equal" aboveAverage="0" equalAverage="0" bottom="0" percent="0" rank="0" text="" dxfId="0">
      <formula>"Stockout Risk"</formula>
    </cfRule>
    <cfRule type="cellIs" priority="3" operator="equal" aboveAverage="0" equalAverage="0" bottom="0" percent="0" rank="0" text="" dxfId="1">
      <formula>"Overstock"</formula>
    </cfRule>
    <cfRule type="cellIs" priority="4" operator="equal" aboveAverage="0" equalAverage="0" bottom="0" percent="0" rank="0" text="" dxfId="2">
      <formula>"Healthy"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1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1"/>
  </cols>
  <sheetData>
    <row r="2" customFormat="false" ht="17.25" hidden="false" customHeight="true" outlineLevel="0" collapsed="false">
      <c r="B2" s="21" t="s">
        <v>367</v>
      </c>
    </row>
    <row r="3" customFormat="false" ht="15" hidden="false" customHeight="true" outlineLevel="0" collapsed="false">
      <c r="B3" s="3" t="s">
        <v>368</v>
      </c>
    </row>
    <row r="5" customFormat="false" ht="15" hidden="false" customHeight="true" outlineLevel="0" collapsed="false">
      <c r="A5" s="38" t="s">
        <v>19</v>
      </c>
      <c r="B5" s="38" t="s">
        <v>269</v>
      </c>
      <c r="C5" s="38" t="s">
        <v>369</v>
      </c>
      <c r="D5" s="38" t="s">
        <v>370</v>
      </c>
      <c r="E5" s="38" t="s">
        <v>371</v>
      </c>
      <c r="F5" s="38" t="s">
        <v>372</v>
      </c>
    </row>
    <row r="6" customFormat="false" ht="15" hidden="false" customHeight="true" outlineLevel="0" collapsed="false">
      <c r="A6" s="18" t="s">
        <v>249</v>
      </c>
      <c r="B6" s="31" t="n">
        <f aca="false">Raw_Sales_Weekly!E1528</f>
        <v>45</v>
      </c>
      <c r="C6" s="31" t="n">
        <f aca="false">Raw_Sales_Weekly!C1528</f>
        <v>123</v>
      </c>
      <c r="D6" s="18" t="n">
        <f aca="false">ROUND(FORECAST(B6,Raw_Sales_Weekly!$C$1484:$C$1527,Raw_Sales_Weekly!$E$1484:$E$1527),0)</f>
        <v>176</v>
      </c>
      <c r="E6" s="32" t="n">
        <f aca="false">IFERROR(ABS((D6-C6)/C6),"")</f>
        <v>0.430894308943089</v>
      </c>
      <c r="F6" s="18" t="n">
        <f aca="false">ABS(D6-C6)</f>
        <v>53</v>
      </c>
    </row>
    <row r="7" customFormat="false" ht="15" hidden="false" customHeight="true" outlineLevel="0" collapsed="false">
      <c r="A7" s="18" t="s">
        <v>249</v>
      </c>
      <c r="B7" s="31" t="n">
        <f aca="false">Raw_Sales_Weekly!E1529</f>
        <v>46</v>
      </c>
      <c r="C7" s="31" t="n">
        <f aca="false">Raw_Sales_Weekly!C1529</f>
        <v>147</v>
      </c>
      <c r="D7" s="18" t="n">
        <f aca="false">ROUND(FORECAST(B7,Raw_Sales_Weekly!$C$1484:$C$1527,Raw_Sales_Weekly!$E$1484:$E$1527),0)</f>
        <v>174</v>
      </c>
      <c r="E7" s="32" t="n">
        <f aca="false">IFERROR(ABS((D7-C7)/C7),"")</f>
        <v>0.183673469387755</v>
      </c>
      <c r="F7" s="18" t="n">
        <f aca="false">ABS(D7-C7)</f>
        <v>27</v>
      </c>
    </row>
    <row r="8" customFormat="false" ht="15" hidden="false" customHeight="true" outlineLevel="0" collapsed="false">
      <c r="A8" s="18" t="s">
        <v>249</v>
      </c>
      <c r="B8" s="31" t="n">
        <f aca="false">Raw_Sales_Weekly!E1530</f>
        <v>47</v>
      </c>
      <c r="C8" s="31" t="n">
        <f aca="false">Raw_Sales_Weekly!C1530</f>
        <v>235</v>
      </c>
      <c r="D8" s="18" t="n">
        <f aca="false">ROUND(FORECAST(B8,Raw_Sales_Weekly!$C$1484:$C$1527,Raw_Sales_Weekly!$E$1484:$E$1527),0)</f>
        <v>172</v>
      </c>
      <c r="E8" s="32" t="n">
        <f aca="false">IFERROR(ABS((D8-C8)/C8),"")</f>
        <v>0.268085106382979</v>
      </c>
      <c r="F8" s="18" t="n">
        <f aca="false">ABS(D8-C8)</f>
        <v>63</v>
      </c>
    </row>
    <row r="9" customFormat="false" ht="15" hidden="false" customHeight="true" outlineLevel="0" collapsed="false">
      <c r="A9" s="18" t="s">
        <v>249</v>
      </c>
      <c r="B9" s="31" t="n">
        <f aca="false">Raw_Sales_Weekly!E1531</f>
        <v>48</v>
      </c>
      <c r="C9" s="31" t="n">
        <f aca="false">Raw_Sales_Weekly!C1531</f>
        <v>286</v>
      </c>
      <c r="D9" s="18" t="n">
        <f aca="false">ROUND(FORECAST(B9,Raw_Sales_Weekly!$C$1484:$C$1527,Raw_Sales_Weekly!$E$1484:$E$1527),0)</f>
        <v>171</v>
      </c>
      <c r="E9" s="32" t="n">
        <f aca="false">IFERROR(ABS((D9-C9)/C9),"")</f>
        <v>0.402097902097902</v>
      </c>
      <c r="F9" s="18" t="n">
        <f aca="false">ABS(D9-C9)</f>
        <v>115</v>
      </c>
    </row>
    <row r="10" customFormat="false" ht="15" hidden="false" customHeight="true" outlineLevel="0" collapsed="false">
      <c r="A10" s="18" t="s">
        <v>249</v>
      </c>
      <c r="B10" s="31" t="n">
        <f aca="false">Raw_Sales_Weekly!E1532</f>
        <v>49</v>
      </c>
      <c r="C10" s="31" t="n">
        <f aca="false">Raw_Sales_Weekly!C1532</f>
        <v>275</v>
      </c>
      <c r="D10" s="18" t="n">
        <f aca="false">ROUND(FORECAST(B10,Raw_Sales_Weekly!$C$1484:$C$1527,Raw_Sales_Weekly!$E$1484:$E$1527),0)</f>
        <v>169</v>
      </c>
      <c r="E10" s="32" t="n">
        <f aca="false">IFERROR(ABS((D10-C10)/C10),"")</f>
        <v>0.385454545454545</v>
      </c>
      <c r="F10" s="18" t="n">
        <f aca="false">ABS(D10-C10)</f>
        <v>106</v>
      </c>
    </row>
    <row r="11" customFormat="false" ht="15" hidden="false" customHeight="true" outlineLevel="0" collapsed="false">
      <c r="A11" s="18" t="s">
        <v>249</v>
      </c>
      <c r="B11" s="31" t="n">
        <f aca="false">Raw_Sales_Weekly!E1533</f>
        <v>50</v>
      </c>
      <c r="C11" s="31" t="n">
        <f aca="false">Raw_Sales_Weekly!C1533</f>
        <v>199</v>
      </c>
      <c r="D11" s="18" t="n">
        <f aca="false">ROUND(FORECAST(B11,Raw_Sales_Weekly!$C$1484:$C$1527,Raw_Sales_Weekly!$E$1484:$E$1527),0)</f>
        <v>168</v>
      </c>
      <c r="E11" s="32" t="n">
        <f aca="false">IFERROR(ABS((D11-C11)/C11),"")</f>
        <v>0.155778894472362</v>
      </c>
      <c r="F11" s="18" t="n">
        <f aca="false">ABS(D11-C11)</f>
        <v>31</v>
      </c>
    </row>
    <row r="12" customFormat="false" ht="15" hidden="false" customHeight="true" outlineLevel="0" collapsed="false">
      <c r="A12" s="18" t="s">
        <v>247</v>
      </c>
      <c r="B12" s="31" t="n">
        <f aca="false">Raw_Sales_Weekly!E1478</f>
        <v>46</v>
      </c>
      <c r="C12" s="31" t="n">
        <f aca="false">Raw_Sales_Weekly!C1478</f>
        <v>140</v>
      </c>
      <c r="D12" s="18" t="n">
        <f aca="false">ROUND(FORECAST(B12,Raw_Sales_Weekly!$C$1433:$C$1477,Raw_Sales_Weekly!$E$1433:$E$1477),0)</f>
        <v>164</v>
      </c>
      <c r="E12" s="32" t="n">
        <f aca="false">IFERROR(ABS((D12-C12)/C12),"")</f>
        <v>0.171428571428571</v>
      </c>
      <c r="F12" s="18" t="n">
        <f aca="false">ABS(D12-C12)</f>
        <v>24</v>
      </c>
    </row>
    <row r="13" customFormat="false" ht="15" hidden="false" customHeight="true" outlineLevel="0" collapsed="false">
      <c r="A13" s="18" t="s">
        <v>247</v>
      </c>
      <c r="B13" s="31" t="n">
        <f aca="false">Raw_Sales_Weekly!E1479</f>
        <v>47</v>
      </c>
      <c r="C13" s="31" t="n">
        <f aca="false">Raw_Sales_Weekly!C1479</f>
        <v>168</v>
      </c>
      <c r="D13" s="18" t="n">
        <f aca="false">ROUND(FORECAST(B13,Raw_Sales_Weekly!$C$1433:$C$1477,Raw_Sales_Weekly!$E$1433:$E$1477),0)</f>
        <v>163</v>
      </c>
      <c r="E13" s="32" t="n">
        <f aca="false">IFERROR(ABS((D13-C13)/C13),"")</f>
        <v>0.0297619047619048</v>
      </c>
      <c r="F13" s="18" t="n">
        <f aca="false">ABS(D13-C13)</f>
        <v>5</v>
      </c>
    </row>
    <row r="14" customFormat="false" ht="15" hidden="false" customHeight="true" outlineLevel="0" collapsed="false">
      <c r="A14" s="18" t="s">
        <v>247</v>
      </c>
      <c r="B14" s="31" t="n">
        <f aca="false">Raw_Sales_Weekly!E1480</f>
        <v>48</v>
      </c>
      <c r="C14" s="31" t="n">
        <f aca="false">Raw_Sales_Weekly!C1480</f>
        <v>120</v>
      </c>
      <c r="D14" s="18" t="n">
        <f aca="false">ROUND(FORECAST(B14,Raw_Sales_Weekly!$C$1433:$C$1477,Raw_Sales_Weekly!$E$1433:$E$1477),0)</f>
        <v>163</v>
      </c>
      <c r="E14" s="32" t="n">
        <f aca="false">IFERROR(ABS((D14-C14)/C14),"")</f>
        <v>0.358333333333333</v>
      </c>
      <c r="F14" s="18" t="n">
        <f aca="false">ABS(D14-C14)</f>
        <v>43</v>
      </c>
    </row>
    <row r="15" customFormat="false" ht="15" hidden="false" customHeight="true" outlineLevel="0" collapsed="false">
      <c r="A15" s="18" t="s">
        <v>247</v>
      </c>
      <c r="B15" s="31" t="n">
        <f aca="false">Raw_Sales_Weekly!E1481</f>
        <v>49</v>
      </c>
      <c r="C15" s="31" t="n">
        <f aca="false">Raw_Sales_Weekly!C1481</f>
        <v>6</v>
      </c>
      <c r="D15" s="18" t="n">
        <f aca="false">ROUND(FORECAST(B15,Raw_Sales_Weekly!$C$1433:$C$1477,Raw_Sales_Weekly!$E$1433:$E$1477),0)</f>
        <v>163</v>
      </c>
      <c r="E15" s="32" t="n">
        <f aca="false">IFERROR(ABS((D15-C15)/C15),"")</f>
        <v>26.1666666666667</v>
      </c>
      <c r="F15" s="18" t="n">
        <f aca="false">ABS(D15-C15)</f>
        <v>157</v>
      </c>
    </row>
    <row r="16" customFormat="false" ht="15" hidden="false" customHeight="true" outlineLevel="0" collapsed="false">
      <c r="A16" s="18" t="s">
        <v>247</v>
      </c>
      <c r="B16" s="31" t="n">
        <f aca="false">Raw_Sales_Weekly!E1482</f>
        <v>50</v>
      </c>
      <c r="C16" s="31" t="n">
        <f aca="false">Raw_Sales_Weekly!C1482</f>
        <v>157</v>
      </c>
      <c r="D16" s="18" t="n">
        <f aca="false">ROUND(FORECAST(B16,Raw_Sales_Weekly!$C$1433:$C$1477,Raw_Sales_Weekly!$E$1433:$E$1477),0)</f>
        <v>163</v>
      </c>
      <c r="E16" s="32" t="n">
        <f aca="false">IFERROR(ABS((D16-C16)/C16),"")</f>
        <v>0.0382165605095541</v>
      </c>
      <c r="F16" s="18" t="n">
        <f aca="false">ABS(D16-C16)</f>
        <v>6</v>
      </c>
    </row>
    <row r="17" customFormat="false" ht="15" hidden="false" customHeight="true" outlineLevel="0" collapsed="false">
      <c r="A17" s="18" t="s">
        <v>247</v>
      </c>
      <c r="B17" s="31" t="n">
        <f aca="false">Raw_Sales_Weekly!E1483</f>
        <v>51</v>
      </c>
      <c r="C17" s="31" t="n">
        <f aca="false">Raw_Sales_Weekly!C1483</f>
        <v>234</v>
      </c>
      <c r="D17" s="18" t="n">
        <f aca="false">ROUND(FORECAST(B17,Raw_Sales_Weekly!$C$1433:$C$1477,Raw_Sales_Weekly!$E$1433:$E$1477),0)</f>
        <v>163</v>
      </c>
      <c r="E17" s="32" t="n">
        <f aca="false">IFERROR(ABS((D17-C17)/C17),"")</f>
        <v>0.303418803418803</v>
      </c>
      <c r="F17" s="18" t="n">
        <f aca="false">ABS(D17-C17)</f>
        <v>71</v>
      </c>
    </row>
    <row r="18" customFormat="false" ht="15" hidden="false" customHeight="true" outlineLevel="0" collapsed="false">
      <c r="A18" s="18" t="s">
        <v>228</v>
      </c>
      <c r="B18" s="31" t="n">
        <f aca="false">Raw_Sales_Weekly!E1196</f>
        <v>45</v>
      </c>
      <c r="C18" s="31" t="n">
        <f aca="false">Raw_Sales_Weekly!C1196</f>
        <v>212</v>
      </c>
      <c r="D18" s="18" t="n">
        <f aca="false">ROUND(FORECAST(B18,Raw_Sales_Weekly!$C$1152:$C$1195,Raw_Sales_Weekly!$E$1152:$E$1195),0)</f>
        <v>138</v>
      </c>
      <c r="E18" s="32" t="n">
        <f aca="false">IFERROR(ABS((D18-C18)/C18),"")</f>
        <v>0.349056603773585</v>
      </c>
      <c r="F18" s="18" t="n">
        <f aca="false">ABS(D18-C18)</f>
        <v>74</v>
      </c>
    </row>
    <row r="19" customFormat="false" ht="15" hidden="false" customHeight="true" outlineLevel="0" collapsed="false">
      <c r="A19" s="18" t="s">
        <v>228</v>
      </c>
      <c r="B19" s="31" t="n">
        <f aca="false">Raw_Sales_Weekly!E1197</f>
        <v>46</v>
      </c>
      <c r="C19" s="31" t="n">
        <f aca="false">Raw_Sales_Weekly!C1197</f>
        <v>0</v>
      </c>
      <c r="D19" s="18" t="n">
        <f aca="false">ROUND(FORECAST(B19,Raw_Sales_Weekly!$C$1152:$C$1195,Raw_Sales_Weekly!$E$1152:$E$1195),0)</f>
        <v>137</v>
      </c>
      <c r="E19" s="32" t="str">
        <f aca="false">IFERROR(ABS((D19-C19)/C19),"")</f>
        <v/>
      </c>
      <c r="F19" s="18" t="n">
        <f aca="false">ABS(D19-C19)</f>
        <v>137</v>
      </c>
    </row>
    <row r="20" customFormat="false" ht="15" hidden="false" customHeight="true" outlineLevel="0" collapsed="false">
      <c r="A20" s="18" t="s">
        <v>228</v>
      </c>
      <c r="B20" s="31" t="n">
        <f aca="false">Raw_Sales_Weekly!E1198</f>
        <v>47</v>
      </c>
      <c r="C20" s="31" t="n">
        <f aca="false">Raw_Sales_Weekly!C1198</f>
        <v>88</v>
      </c>
      <c r="D20" s="18" t="n">
        <f aca="false">ROUND(FORECAST(B20,Raw_Sales_Weekly!$C$1152:$C$1195,Raw_Sales_Weekly!$E$1152:$E$1195),0)</f>
        <v>135</v>
      </c>
      <c r="E20" s="32" t="n">
        <f aca="false">IFERROR(ABS((D20-C20)/C20),"")</f>
        <v>0.534090909090909</v>
      </c>
      <c r="F20" s="18" t="n">
        <f aca="false">ABS(D20-C20)</f>
        <v>47</v>
      </c>
    </row>
    <row r="21" customFormat="false" ht="15" hidden="false" customHeight="true" outlineLevel="0" collapsed="false">
      <c r="A21" s="18" t="s">
        <v>228</v>
      </c>
      <c r="B21" s="31" t="n">
        <f aca="false">Raw_Sales_Weekly!E1199</f>
        <v>48</v>
      </c>
      <c r="C21" s="31" t="n">
        <f aca="false">Raw_Sales_Weekly!C1199</f>
        <v>216</v>
      </c>
      <c r="D21" s="18" t="n">
        <f aca="false">ROUND(FORECAST(B21,Raw_Sales_Weekly!$C$1152:$C$1195,Raw_Sales_Weekly!$E$1152:$E$1195),0)</f>
        <v>134</v>
      </c>
      <c r="E21" s="32" t="n">
        <f aca="false">IFERROR(ABS((D21-C21)/C21),"")</f>
        <v>0.37962962962963</v>
      </c>
      <c r="F21" s="18" t="n">
        <f aca="false">ABS(D21-C21)</f>
        <v>82</v>
      </c>
    </row>
    <row r="22" customFormat="false" ht="15" hidden="false" customHeight="true" outlineLevel="0" collapsed="false">
      <c r="A22" s="18" t="s">
        <v>228</v>
      </c>
      <c r="B22" s="31" t="n">
        <f aca="false">Raw_Sales_Weekly!E1200</f>
        <v>49</v>
      </c>
      <c r="C22" s="31" t="n">
        <f aca="false">Raw_Sales_Weekly!C1200</f>
        <v>235</v>
      </c>
      <c r="D22" s="18" t="n">
        <f aca="false">ROUND(FORECAST(B22,Raw_Sales_Weekly!$C$1152:$C$1195,Raw_Sales_Weekly!$E$1152:$E$1195),0)</f>
        <v>133</v>
      </c>
      <c r="E22" s="32" t="n">
        <f aca="false">IFERROR(ABS((D22-C22)/C22),"")</f>
        <v>0.434042553191489</v>
      </c>
      <c r="F22" s="18" t="n">
        <f aca="false">ABS(D22-C22)</f>
        <v>102</v>
      </c>
    </row>
    <row r="23" customFormat="false" ht="15" hidden="false" customHeight="true" outlineLevel="0" collapsed="false">
      <c r="A23" s="18" t="s">
        <v>228</v>
      </c>
      <c r="B23" s="31" t="n">
        <f aca="false">Raw_Sales_Weekly!E1201</f>
        <v>50</v>
      </c>
      <c r="C23" s="31" t="n">
        <f aca="false">Raw_Sales_Weekly!C1201</f>
        <v>125</v>
      </c>
      <c r="D23" s="18" t="n">
        <f aca="false">ROUND(FORECAST(B23,Raw_Sales_Weekly!$C$1152:$C$1195,Raw_Sales_Weekly!$E$1152:$E$1195),0)</f>
        <v>131</v>
      </c>
      <c r="E23" s="32" t="n">
        <f aca="false">IFERROR(ABS((D23-C23)/C23),"")</f>
        <v>0.048</v>
      </c>
      <c r="F23" s="18" t="n">
        <f aca="false">ABS(D23-C23)</f>
        <v>6</v>
      </c>
    </row>
    <row r="24" customFormat="false" ht="15" hidden="false" customHeight="true" outlineLevel="0" collapsed="false">
      <c r="A24" s="18" t="s">
        <v>241</v>
      </c>
      <c r="B24" s="31" t="n">
        <f aca="false">Raw_Sales_Weekly!E1422</f>
        <v>46</v>
      </c>
      <c r="C24" s="31" t="n">
        <f aca="false">Raw_Sales_Weekly!C1422</f>
        <v>82</v>
      </c>
      <c r="D24" s="18" t="n">
        <f aca="false">ROUND(FORECAST(B24,Raw_Sales_Weekly!$C$1377:$C$1421,Raw_Sales_Weekly!$E$1377:$E$1421),0)</f>
        <v>107</v>
      </c>
      <c r="E24" s="32" t="n">
        <f aca="false">IFERROR(ABS((D24-C24)/C24),"")</f>
        <v>0.304878048780488</v>
      </c>
      <c r="F24" s="18" t="n">
        <f aca="false">ABS(D24-C24)</f>
        <v>25</v>
      </c>
    </row>
    <row r="25" customFormat="false" ht="15" hidden="false" customHeight="true" outlineLevel="0" collapsed="false">
      <c r="A25" s="18" t="s">
        <v>241</v>
      </c>
      <c r="B25" s="31" t="n">
        <f aca="false">Raw_Sales_Weekly!E1423</f>
        <v>47</v>
      </c>
      <c r="C25" s="31" t="n">
        <f aca="false">Raw_Sales_Weekly!C1423</f>
        <v>93</v>
      </c>
      <c r="D25" s="18" t="n">
        <f aca="false">ROUND(FORECAST(B25,Raw_Sales_Weekly!$C$1377:$C$1421,Raw_Sales_Weekly!$E$1377:$E$1421),0)</f>
        <v>108</v>
      </c>
      <c r="E25" s="32" t="n">
        <f aca="false">IFERROR(ABS((D25-C25)/C25),"")</f>
        <v>0.161290322580645</v>
      </c>
      <c r="F25" s="18" t="n">
        <f aca="false">ABS(D25-C25)</f>
        <v>15</v>
      </c>
    </row>
    <row r="26" customFormat="false" ht="15" hidden="false" customHeight="true" outlineLevel="0" collapsed="false">
      <c r="A26" s="18" t="s">
        <v>241</v>
      </c>
      <c r="B26" s="31" t="n">
        <f aca="false">Raw_Sales_Weekly!E1424</f>
        <v>48</v>
      </c>
      <c r="C26" s="31" t="n">
        <f aca="false">Raw_Sales_Weekly!C1424</f>
        <v>33</v>
      </c>
      <c r="D26" s="18" t="n">
        <f aca="false">ROUND(FORECAST(B26,Raw_Sales_Weekly!$C$1377:$C$1421,Raw_Sales_Weekly!$E$1377:$E$1421),0)</f>
        <v>109</v>
      </c>
      <c r="E26" s="32" t="n">
        <f aca="false">IFERROR(ABS((D26-C26)/C26),"")</f>
        <v>2.3030303030303</v>
      </c>
      <c r="F26" s="18" t="n">
        <f aca="false">ABS(D26-C26)</f>
        <v>76</v>
      </c>
    </row>
    <row r="27" customFormat="false" ht="15" hidden="false" customHeight="true" outlineLevel="0" collapsed="false">
      <c r="A27" s="18" t="s">
        <v>241</v>
      </c>
      <c r="B27" s="31" t="n">
        <f aca="false">Raw_Sales_Weekly!E1425</f>
        <v>49</v>
      </c>
      <c r="C27" s="31" t="n">
        <f aca="false">Raw_Sales_Weekly!C1425</f>
        <v>119</v>
      </c>
      <c r="D27" s="18" t="n">
        <f aca="false">ROUND(FORECAST(B27,Raw_Sales_Weekly!$C$1377:$C$1421,Raw_Sales_Weekly!$E$1377:$E$1421),0)</f>
        <v>110</v>
      </c>
      <c r="E27" s="32" t="n">
        <f aca="false">IFERROR(ABS((D27-C27)/C27),"")</f>
        <v>0.0756302521008403</v>
      </c>
      <c r="F27" s="18" t="n">
        <f aca="false">ABS(D27-C27)</f>
        <v>9</v>
      </c>
    </row>
    <row r="28" customFormat="false" ht="15" hidden="false" customHeight="true" outlineLevel="0" collapsed="false">
      <c r="A28" s="18" t="s">
        <v>241</v>
      </c>
      <c r="B28" s="31" t="n">
        <f aca="false">Raw_Sales_Weekly!E1426</f>
        <v>50</v>
      </c>
      <c r="C28" s="31" t="n">
        <f aca="false">Raw_Sales_Weekly!C1426</f>
        <v>139</v>
      </c>
      <c r="D28" s="18" t="n">
        <f aca="false">ROUND(FORECAST(B28,Raw_Sales_Weekly!$C$1377:$C$1421,Raw_Sales_Weekly!$E$1377:$E$1421),0)</f>
        <v>111</v>
      </c>
      <c r="E28" s="32" t="n">
        <f aca="false">IFERROR(ABS((D28-C28)/C28),"")</f>
        <v>0.201438848920863</v>
      </c>
      <c r="F28" s="18" t="n">
        <f aca="false">ABS(D28-C28)</f>
        <v>28</v>
      </c>
    </row>
    <row r="29" customFormat="false" ht="15" hidden="false" customHeight="true" outlineLevel="0" collapsed="false">
      <c r="A29" s="18" t="s">
        <v>241</v>
      </c>
      <c r="B29" s="31" t="n">
        <f aca="false">Raw_Sales_Weekly!E1427</f>
        <v>51</v>
      </c>
      <c r="C29" s="31" t="n">
        <f aca="false">Raw_Sales_Weekly!C1427</f>
        <v>7</v>
      </c>
      <c r="D29" s="18" t="n">
        <f aca="false">ROUND(FORECAST(B29,Raw_Sales_Weekly!$C$1377:$C$1421,Raw_Sales_Weekly!$E$1377:$E$1421),0)</f>
        <v>112</v>
      </c>
      <c r="E29" s="32" t="n">
        <f aca="false">IFERROR(ABS((D29-C29)/C29),"")</f>
        <v>15</v>
      </c>
      <c r="F29" s="18" t="n">
        <f aca="false">ABS(D29-C29)</f>
        <v>105</v>
      </c>
    </row>
    <row r="30" customFormat="false" ht="15" hidden="false" customHeight="true" outlineLevel="0" collapsed="false">
      <c r="A30" s="18" t="s">
        <v>199</v>
      </c>
      <c r="B30" s="31" t="n">
        <f aca="false">Raw_Sales_Weekly!E661</f>
        <v>47</v>
      </c>
      <c r="C30" s="31" t="n">
        <f aca="false">Raw_Sales_Weekly!C661</f>
        <v>56</v>
      </c>
      <c r="D30" s="18" t="n">
        <f aca="false">ROUND(FORECAST(B30,Raw_Sales_Weekly!$C$615:$C$660,Raw_Sales_Weekly!$E$615:$E$660),0)</f>
        <v>70</v>
      </c>
      <c r="E30" s="32" t="n">
        <f aca="false">IFERROR(ABS((D30-C30)/C30),"")</f>
        <v>0.25</v>
      </c>
      <c r="F30" s="18" t="n">
        <f aca="false">ABS(D30-C30)</f>
        <v>14</v>
      </c>
    </row>
    <row r="31" customFormat="false" ht="15" hidden="false" customHeight="true" outlineLevel="0" collapsed="false">
      <c r="A31" s="18" t="s">
        <v>199</v>
      </c>
      <c r="B31" s="31" t="n">
        <f aca="false">Raw_Sales_Weekly!E662</f>
        <v>48</v>
      </c>
      <c r="C31" s="31" t="n">
        <f aca="false">Raw_Sales_Weekly!C662</f>
        <v>67</v>
      </c>
      <c r="D31" s="18" t="n">
        <f aca="false">ROUND(FORECAST(B31,Raw_Sales_Weekly!$C$615:$C$660,Raw_Sales_Weekly!$E$615:$E$660),0)</f>
        <v>70</v>
      </c>
      <c r="E31" s="32" t="n">
        <f aca="false">IFERROR(ABS((D31-C31)/C31),"")</f>
        <v>0.0447761194029851</v>
      </c>
      <c r="F31" s="18" t="n">
        <f aca="false">ABS(D31-C31)</f>
        <v>3</v>
      </c>
    </row>
    <row r="32" customFormat="false" ht="15" hidden="false" customHeight="true" outlineLevel="0" collapsed="false">
      <c r="A32" s="18" t="s">
        <v>199</v>
      </c>
      <c r="B32" s="31" t="n">
        <f aca="false">Raw_Sales_Weekly!E663</f>
        <v>49</v>
      </c>
      <c r="C32" s="31" t="n">
        <f aca="false">Raw_Sales_Weekly!C663</f>
        <v>67</v>
      </c>
      <c r="D32" s="18" t="n">
        <f aca="false">ROUND(FORECAST(B32,Raw_Sales_Weekly!$C$615:$C$660,Raw_Sales_Weekly!$E$615:$E$660),0)</f>
        <v>70</v>
      </c>
      <c r="E32" s="32" t="n">
        <f aca="false">IFERROR(ABS((D32-C32)/C32),"")</f>
        <v>0.0447761194029851</v>
      </c>
      <c r="F32" s="18" t="n">
        <f aca="false">ABS(D32-C32)</f>
        <v>3</v>
      </c>
    </row>
    <row r="33" customFormat="false" ht="15" hidden="false" customHeight="true" outlineLevel="0" collapsed="false">
      <c r="A33" s="18" t="s">
        <v>199</v>
      </c>
      <c r="B33" s="31" t="n">
        <f aca="false">Raw_Sales_Weekly!E664</f>
        <v>50</v>
      </c>
      <c r="C33" s="31" t="n">
        <f aca="false">Raw_Sales_Weekly!C664</f>
        <v>65</v>
      </c>
      <c r="D33" s="18" t="n">
        <f aca="false">ROUND(FORECAST(B33,Raw_Sales_Weekly!$C$615:$C$660,Raw_Sales_Weekly!$E$615:$E$660),0)</f>
        <v>70</v>
      </c>
      <c r="E33" s="32" t="n">
        <f aca="false">IFERROR(ABS((D33-C33)/C33),"")</f>
        <v>0.0769230769230769</v>
      </c>
      <c r="F33" s="18" t="n">
        <f aca="false">ABS(D33-C33)</f>
        <v>5</v>
      </c>
    </row>
    <row r="34" customFormat="false" ht="15" hidden="false" customHeight="true" outlineLevel="0" collapsed="false">
      <c r="A34" s="18" t="s">
        <v>199</v>
      </c>
      <c r="B34" s="31" t="n">
        <f aca="false">Raw_Sales_Weekly!E665</f>
        <v>51</v>
      </c>
      <c r="C34" s="31" t="n">
        <f aca="false">Raw_Sales_Weekly!C665</f>
        <v>74</v>
      </c>
      <c r="D34" s="18" t="n">
        <f aca="false">ROUND(FORECAST(B34,Raw_Sales_Weekly!$C$615:$C$660,Raw_Sales_Weekly!$E$615:$E$660),0)</f>
        <v>69</v>
      </c>
      <c r="E34" s="32" t="n">
        <f aca="false">IFERROR(ABS((D34-C34)/C34),"")</f>
        <v>0.0675675675675676</v>
      </c>
      <c r="F34" s="18" t="n">
        <f aca="false">ABS(D34-C34)</f>
        <v>5</v>
      </c>
    </row>
    <row r="35" customFormat="false" ht="15" hidden="false" customHeight="true" outlineLevel="0" collapsed="false">
      <c r="A35" s="18" t="s">
        <v>199</v>
      </c>
      <c r="B35" s="31" t="n">
        <f aca="false">Raw_Sales_Weekly!E666</f>
        <v>52</v>
      </c>
      <c r="C35" s="31" t="n">
        <f aca="false">Raw_Sales_Weekly!C666</f>
        <v>69</v>
      </c>
      <c r="D35" s="18" t="n">
        <f aca="false">ROUND(FORECAST(B35,Raw_Sales_Weekly!$C$615:$C$660,Raw_Sales_Weekly!$E$615:$E$660),0)</f>
        <v>69</v>
      </c>
      <c r="E35" s="32" t="n">
        <f aca="false">IFERROR(ABS((D35-C35)/C35),"")</f>
        <v>0</v>
      </c>
      <c r="F35" s="18" t="n">
        <f aca="false">ABS(D35-C35)</f>
        <v>0</v>
      </c>
    </row>
    <row r="36" customFormat="false" ht="15" hidden="false" customHeight="true" outlineLevel="0" collapsed="false">
      <c r="A36" s="18" t="s">
        <v>188</v>
      </c>
      <c r="B36" s="31" t="n">
        <f aca="false">Raw_Sales_Weekly!E486</f>
        <v>47</v>
      </c>
      <c r="C36" s="31" t="n">
        <f aca="false">Raw_Sales_Weekly!C486</f>
        <v>96</v>
      </c>
      <c r="D36" s="18" t="n">
        <f aca="false">ROUND(FORECAST(B36,Raw_Sales_Weekly!$C$440:$C$485,Raw_Sales_Weekly!$E$440:$E$485),0)</f>
        <v>100</v>
      </c>
      <c r="E36" s="32" t="n">
        <f aca="false">IFERROR(ABS((D36-C36)/C36),"")</f>
        <v>0.0416666666666667</v>
      </c>
      <c r="F36" s="18" t="n">
        <f aca="false">ABS(D36-C36)</f>
        <v>4</v>
      </c>
    </row>
    <row r="37" customFormat="false" ht="15" hidden="false" customHeight="true" outlineLevel="0" collapsed="false">
      <c r="A37" s="18" t="s">
        <v>188</v>
      </c>
      <c r="B37" s="31" t="n">
        <f aca="false">Raw_Sales_Weekly!E487</f>
        <v>48</v>
      </c>
      <c r="C37" s="31" t="n">
        <f aca="false">Raw_Sales_Weekly!C487</f>
        <v>93</v>
      </c>
      <c r="D37" s="18" t="n">
        <f aca="false">ROUND(FORECAST(B37,Raw_Sales_Weekly!$C$440:$C$485,Raw_Sales_Weekly!$E$440:$E$485),0)</f>
        <v>100</v>
      </c>
      <c r="E37" s="32" t="n">
        <f aca="false">IFERROR(ABS((D37-C37)/C37),"")</f>
        <v>0.0752688172043011</v>
      </c>
      <c r="F37" s="18" t="n">
        <f aca="false">ABS(D37-C37)</f>
        <v>7</v>
      </c>
    </row>
    <row r="38" customFormat="false" ht="15" hidden="false" customHeight="true" outlineLevel="0" collapsed="false">
      <c r="A38" s="18" t="s">
        <v>188</v>
      </c>
      <c r="B38" s="31" t="n">
        <f aca="false">Raw_Sales_Weekly!E488</f>
        <v>49</v>
      </c>
      <c r="C38" s="31" t="n">
        <f aca="false">Raw_Sales_Weekly!C488</f>
        <v>112</v>
      </c>
      <c r="D38" s="18" t="n">
        <f aca="false">ROUND(FORECAST(B38,Raw_Sales_Weekly!$C$440:$C$485,Raw_Sales_Weekly!$E$440:$E$485),0)</f>
        <v>101</v>
      </c>
      <c r="E38" s="32" t="n">
        <f aca="false">IFERROR(ABS((D38-C38)/C38),"")</f>
        <v>0.0982142857142857</v>
      </c>
      <c r="F38" s="18" t="n">
        <f aca="false">ABS(D38-C38)</f>
        <v>11</v>
      </c>
    </row>
    <row r="39" customFormat="false" ht="15" hidden="false" customHeight="true" outlineLevel="0" collapsed="false">
      <c r="A39" s="18" t="s">
        <v>188</v>
      </c>
      <c r="B39" s="31" t="n">
        <f aca="false">Raw_Sales_Weekly!E489</f>
        <v>50</v>
      </c>
      <c r="C39" s="31" t="n">
        <f aca="false">Raw_Sales_Weekly!C489</f>
        <v>94</v>
      </c>
      <c r="D39" s="18" t="n">
        <f aca="false">ROUND(FORECAST(B39,Raw_Sales_Weekly!$C$440:$C$485,Raw_Sales_Weekly!$E$440:$E$485),0)</f>
        <v>101</v>
      </c>
      <c r="E39" s="32" t="n">
        <f aca="false">IFERROR(ABS((D39-C39)/C39),"")</f>
        <v>0.074468085106383</v>
      </c>
      <c r="F39" s="18" t="n">
        <f aca="false">ABS(D39-C39)</f>
        <v>7</v>
      </c>
    </row>
    <row r="40" customFormat="false" ht="15" hidden="false" customHeight="true" outlineLevel="0" collapsed="false">
      <c r="A40" s="18" t="s">
        <v>188</v>
      </c>
      <c r="B40" s="31" t="n">
        <f aca="false">Raw_Sales_Weekly!E490</f>
        <v>51</v>
      </c>
      <c r="C40" s="31" t="n">
        <f aca="false">Raw_Sales_Weekly!C490</f>
        <v>73</v>
      </c>
      <c r="D40" s="18" t="n">
        <f aca="false">ROUND(FORECAST(B40,Raw_Sales_Weekly!$C$440:$C$485,Raw_Sales_Weekly!$E$440:$E$485),0)</f>
        <v>101</v>
      </c>
      <c r="E40" s="32" t="n">
        <f aca="false">IFERROR(ABS((D40-C40)/C40),"")</f>
        <v>0.383561643835616</v>
      </c>
      <c r="F40" s="18" t="n">
        <f aca="false">ABS(D40-C40)</f>
        <v>28</v>
      </c>
    </row>
    <row r="41" customFormat="false" ht="15" hidden="false" customHeight="true" outlineLevel="0" collapsed="false">
      <c r="A41" s="18" t="s">
        <v>188</v>
      </c>
      <c r="B41" s="31" t="n">
        <f aca="false">Raw_Sales_Weekly!E491</f>
        <v>52</v>
      </c>
      <c r="C41" s="31" t="n">
        <f aca="false">Raw_Sales_Weekly!C491</f>
        <v>111</v>
      </c>
      <c r="D41" s="18" t="n">
        <f aca="false">ROUND(FORECAST(B41,Raw_Sales_Weekly!$C$440:$C$485,Raw_Sales_Weekly!$E$440:$E$485),0)</f>
        <v>101</v>
      </c>
      <c r="E41" s="32" t="n">
        <f aca="false">IFERROR(ABS((D41-C41)/C41),"")</f>
        <v>0.0900900900900901</v>
      </c>
      <c r="F41" s="18" t="n">
        <f aca="false">ABS(D41-C41)</f>
        <v>10</v>
      </c>
    </row>
    <row r="42" customFormat="false" ht="15" hidden="false" customHeight="true" outlineLevel="0" collapsed="false">
      <c r="A42" s="18" t="s">
        <v>192</v>
      </c>
      <c r="B42" s="31" t="n">
        <f aca="false">Raw_Sales_Weekly!E507</f>
        <v>16</v>
      </c>
      <c r="C42" s="31" t="n">
        <f aca="false">Raw_Sales_Weekly!C507</f>
        <v>223</v>
      </c>
      <c r="D42" s="18" t="n">
        <f aca="false">ROUND(FORECAST(B42,Raw_Sales_Weekly!$C$492:$C$506,Raw_Sales_Weekly!$E$492:$E$506),0)</f>
        <v>205</v>
      </c>
      <c r="E42" s="32" t="n">
        <f aca="false">IFERROR(ABS((D42-C42)/C42),"")</f>
        <v>0.0807174887892377</v>
      </c>
      <c r="F42" s="18" t="n">
        <f aca="false">ABS(D42-C42)</f>
        <v>18</v>
      </c>
    </row>
    <row r="43" customFormat="false" ht="15" hidden="false" customHeight="true" outlineLevel="0" collapsed="false">
      <c r="A43" s="18" t="s">
        <v>192</v>
      </c>
      <c r="B43" s="31" t="n">
        <f aca="false">Raw_Sales_Weekly!E508</f>
        <v>17</v>
      </c>
      <c r="C43" s="31" t="n">
        <f aca="false">Raw_Sales_Weekly!C508</f>
        <v>184</v>
      </c>
      <c r="D43" s="18" t="n">
        <f aca="false">ROUND(FORECAST(B43,Raw_Sales_Weekly!$C$492:$C$506,Raw_Sales_Weekly!$E$492:$E$506),0)</f>
        <v>204</v>
      </c>
      <c r="E43" s="32" t="n">
        <f aca="false">IFERROR(ABS((D43-C43)/C43),"")</f>
        <v>0.108695652173913</v>
      </c>
      <c r="F43" s="18" t="n">
        <f aca="false">ABS(D43-C43)</f>
        <v>20</v>
      </c>
    </row>
    <row r="44" customFormat="false" ht="15" hidden="false" customHeight="true" outlineLevel="0" collapsed="false">
      <c r="A44" s="18" t="s">
        <v>192</v>
      </c>
      <c r="B44" s="31" t="n">
        <f aca="false">Raw_Sales_Weekly!E509</f>
        <v>18</v>
      </c>
      <c r="C44" s="31" t="n">
        <f aca="false">Raw_Sales_Weekly!C509</f>
        <v>164</v>
      </c>
      <c r="D44" s="18" t="n">
        <f aca="false">ROUND(FORECAST(B44,Raw_Sales_Weekly!$C$492:$C$506,Raw_Sales_Weekly!$E$492:$E$506),0)</f>
        <v>203</v>
      </c>
      <c r="E44" s="32" t="n">
        <f aca="false">IFERROR(ABS((D44-C44)/C44),"")</f>
        <v>0.23780487804878</v>
      </c>
      <c r="F44" s="18" t="n">
        <f aca="false">ABS(D44-C44)</f>
        <v>39</v>
      </c>
    </row>
    <row r="45" customFormat="false" ht="15" hidden="false" customHeight="true" outlineLevel="0" collapsed="false">
      <c r="A45" s="18" t="s">
        <v>192</v>
      </c>
      <c r="B45" s="31" t="n">
        <f aca="false">Raw_Sales_Weekly!E510</f>
        <v>19</v>
      </c>
      <c r="C45" s="31" t="n">
        <f aca="false">Raw_Sales_Weekly!C510</f>
        <v>231</v>
      </c>
      <c r="D45" s="18" t="n">
        <f aca="false">ROUND(FORECAST(B45,Raw_Sales_Weekly!$C$492:$C$506,Raw_Sales_Weekly!$E$492:$E$506),0)</f>
        <v>202</v>
      </c>
      <c r="E45" s="32" t="n">
        <f aca="false">IFERROR(ABS((D45-C45)/C45),"")</f>
        <v>0.125541125541126</v>
      </c>
      <c r="F45" s="18" t="n">
        <f aca="false">ABS(D45-C45)</f>
        <v>29</v>
      </c>
    </row>
    <row r="46" customFormat="false" ht="15" hidden="false" customHeight="true" outlineLevel="0" collapsed="false">
      <c r="A46" s="18" t="s">
        <v>192</v>
      </c>
      <c r="B46" s="31" t="n">
        <f aca="false">Raw_Sales_Weekly!E511</f>
        <v>20</v>
      </c>
      <c r="C46" s="31" t="n">
        <f aca="false">Raw_Sales_Weekly!C511</f>
        <v>173</v>
      </c>
      <c r="D46" s="18" t="n">
        <f aca="false">ROUND(FORECAST(B46,Raw_Sales_Weekly!$C$492:$C$506,Raw_Sales_Weekly!$E$492:$E$506),0)</f>
        <v>201</v>
      </c>
      <c r="E46" s="32" t="n">
        <f aca="false">IFERROR(ABS((D46-C46)/C46),"")</f>
        <v>0.161849710982659</v>
      </c>
      <c r="F46" s="18" t="n">
        <f aca="false">ABS(D46-C46)</f>
        <v>28</v>
      </c>
    </row>
    <row r="47" customFormat="false" ht="15" hidden="false" customHeight="true" outlineLevel="0" collapsed="false">
      <c r="A47" s="18" t="s">
        <v>192</v>
      </c>
      <c r="B47" s="31" t="n">
        <f aca="false">Raw_Sales_Weekly!E512</f>
        <v>21</v>
      </c>
      <c r="C47" s="31" t="n">
        <f aca="false">Raw_Sales_Weekly!C512</f>
        <v>240</v>
      </c>
      <c r="D47" s="18" t="n">
        <f aca="false">ROUND(FORECAST(B47,Raw_Sales_Weekly!$C$492:$C$506,Raw_Sales_Weekly!$E$492:$E$506),0)</f>
        <v>200</v>
      </c>
      <c r="E47" s="32" t="n">
        <f aca="false">IFERROR(ABS((D47-C47)/C47),"")</f>
        <v>0.166666666666667</v>
      </c>
      <c r="F47" s="18" t="n">
        <f aca="false">ABS(D47-C47)</f>
        <v>40</v>
      </c>
    </row>
    <row r="48" customFormat="false" ht="15" hidden="false" customHeight="true" outlineLevel="0" collapsed="false">
      <c r="A48" s="18" t="s">
        <v>197</v>
      </c>
      <c r="B48" s="31" t="n">
        <f aca="false">Raw_Sales_Weekly!E609</f>
        <v>47</v>
      </c>
      <c r="C48" s="31" t="n">
        <f aca="false">Raw_Sales_Weekly!C609</f>
        <v>113</v>
      </c>
      <c r="D48" s="18" t="n">
        <f aca="false">ROUND(FORECAST(B48,Raw_Sales_Weekly!$C$563:$C$608,Raw_Sales_Weekly!$E$563:$E$608),0)</f>
        <v>110</v>
      </c>
      <c r="E48" s="32" t="n">
        <f aca="false">IFERROR(ABS((D48-C48)/C48),"")</f>
        <v>0.0265486725663717</v>
      </c>
      <c r="F48" s="18" t="n">
        <f aca="false">ABS(D48-C48)</f>
        <v>3</v>
      </c>
    </row>
    <row r="49" customFormat="false" ht="15" hidden="false" customHeight="true" outlineLevel="0" collapsed="false">
      <c r="A49" s="18" t="s">
        <v>197</v>
      </c>
      <c r="B49" s="31" t="n">
        <f aca="false">Raw_Sales_Weekly!E610</f>
        <v>48</v>
      </c>
      <c r="C49" s="31" t="n">
        <f aca="false">Raw_Sales_Weekly!C610</f>
        <v>93</v>
      </c>
      <c r="D49" s="18" t="n">
        <f aca="false">ROUND(FORECAST(B49,Raw_Sales_Weekly!$C$563:$C$608,Raw_Sales_Weekly!$E$563:$E$608),0)</f>
        <v>110</v>
      </c>
      <c r="E49" s="32" t="n">
        <f aca="false">IFERROR(ABS((D49-C49)/C49),"")</f>
        <v>0.182795698924731</v>
      </c>
      <c r="F49" s="18" t="n">
        <f aca="false">ABS(D49-C49)</f>
        <v>17</v>
      </c>
    </row>
    <row r="50" customFormat="false" ht="15" hidden="false" customHeight="true" outlineLevel="0" collapsed="false">
      <c r="A50" s="18" t="s">
        <v>197</v>
      </c>
      <c r="B50" s="31" t="n">
        <f aca="false">Raw_Sales_Weekly!E611</f>
        <v>49</v>
      </c>
      <c r="C50" s="31" t="n">
        <f aca="false">Raw_Sales_Weekly!C611</f>
        <v>103</v>
      </c>
      <c r="D50" s="18" t="n">
        <f aca="false">ROUND(FORECAST(B50,Raw_Sales_Weekly!$C$563:$C$608,Raw_Sales_Weekly!$E$563:$E$608),0)</f>
        <v>110</v>
      </c>
      <c r="E50" s="32" t="n">
        <f aca="false">IFERROR(ABS((D50-C50)/C50),"")</f>
        <v>0.0679611650485437</v>
      </c>
      <c r="F50" s="18" t="n">
        <f aca="false">ABS(D50-C50)</f>
        <v>7</v>
      </c>
    </row>
    <row r="51" customFormat="false" ht="15" hidden="false" customHeight="true" outlineLevel="0" collapsed="false">
      <c r="A51" s="18" t="s">
        <v>197</v>
      </c>
      <c r="B51" s="31" t="n">
        <f aca="false">Raw_Sales_Weekly!E612</f>
        <v>50</v>
      </c>
      <c r="C51" s="31" t="n">
        <f aca="false">Raw_Sales_Weekly!C612</f>
        <v>111</v>
      </c>
      <c r="D51" s="18" t="n">
        <f aca="false">ROUND(FORECAST(B51,Raw_Sales_Weekly!$C$563:$C$608,Raw_Sales_Weekly!$E$563:$E$608),0)</f>
        <v>110</v>
      </c>
      <c r="E51" s="32" t="n">
        <f aca="false">IFERROR(ABS((D51-C51)/C51),"")</f>
        <v>0.00900900900900901</v>
      </c>
      <c r="F51" s="18" t="n">
        <f aca="false">ABS(D51-C51)</f>
        <v>1</v>
      </c>
    </row>
    <row r="52" customFormat="false" ht="15" hidden="false" customHeight="true" outlineLevel="0" collapsed="false">
      <c r="A52" s="18" t="s">
        <v>197</v>
      </c>
      <c r="B52" s="31" t="n">
        <f aca="false">Raw_Sales_Weekly!E613</f>
        <v>51</v>
      </c>
      <c r="C52" s="31" t="n">
        <f aca="false">Raw_Sales_Weekly!C613</f>
        <v>129</v>
      </c>
      <c r="D52" s="18" t="n">
        <f aca="false">ROUND(FORECAST(B52,Raw_Sales_Weekly!$C$563:$C$608,Raw_Sales_Weekly!$E$563:$E$608),0)</f>
        <v>110</v>
      </c>
      <c r="E52" s="32" t="n">
        <f aca="false">IFERROR(ABS((D52-C52)/C52),"")</f>
        <v>0.147286821705426</v>
      </c>
      <c r="F52" s="18" t="n">
        <f aca="false">ABS(D52-C52)</f>
        <v>19</v>
      </c>
    </row>
    <row r="53" customFormat="false" ht="15" hidden="false" customHeight="true" outlineLevel="0" collapsed="false">
      <c r="A53" s="18" t="s">
        <v>197</v>
      </c>
      <c r="B53" s="31" t="n">
        <f aca="false">Raw_Sales_Weekly!E614</f>
        <v>52</v>
      </c>
      <c r="C53" s="31" t="n">
        <f aca="false">Raw_Sales_Weekly!C614</f>
        <v>89</v>
      </c>
      <c r="D53" s="18" t="n">
        <f aca="false">ROUND(FORECAST(B53,Raw_Sales_Weekly!$C$563:$C$608,Raw_Sales_Weekly!$E$563:$E$608),0)</f>
        <v>110</v>
      </c>
      <c r="E53" s="32" t="n">
        <f aca="false">IFERROR(ABS((D53-C53)/C53),"")</f>
        <v>0.235955056179775</v>
      </c>
      <c r="F53" s="18" t="n">
        <f aca="false">ABS(D53-C53)</f>
        <v>21</v>
      </c>
    </row>
    <row r="54" customFormat="false" ht="15" hidden="false" customHeight="true" outlineLevel="0" collapsed="false">
      <c r="A54" s="18" t="s">
        <v>202</v>
      </c>
      <c r="B54" s="31" t="n">
        <f aca="false">Raw_Sales_Weekly!E713</f>
        <v>47</v>
      </c>
      <c r="C54" s="31" t="n">
        <f aca="false">Raw_Sales_Weekly!C713</f>
        <v>93</v>
      </c>
      <c r="D54" s="18" t="n">
        <f aca="false">ROUND(FORECAST(B54,Raw_Sales_Weekly!$C$667:$C$712,Raw_Sales_Weekly!$E$667:$E$712),0)</f>
        <v>150</v>
      </c>
      <c r="E54" s="32" t="n">
        <f aca="false">IFERROR(ABS((D54-C54)/C54),"")</f>
        <v>0.612903225806452</v>
      </c>
      <c r="F54" s="18" t="n">
        <f aca="false">ABS(D54-C54)</f>
        <v>57</v>
      </c>
    </row>
    <row r="55" customFormat="false" ht="15" hidden="false" customHeight="true" outlineLevel="0" collapsed="false">
      <c r="A55" s="18" t="s">
        <v>202</v>
      </c>
      <c r="B55" s="31" t="n">
        <f aca="false">Raw_Sales_Weekly!E714</f>
        <v>48</v>
      </c>
      <c r="C55" s="31" t="n">
        <f aca="false">Raw_Sales_Weekly!C714</f>
        <v>285</v>
      </c>
      <c r="D55" s="18" t="n">
        <f aca="false">ROUND(FORECAST(B55,Raw_Sales_Weekly!$C$667:$C$712,Raw_Sales_Weekly!$E$667:$E$712),0)</f>
        <v>148</v>
      </c>
      <c r="E55" s="32" t="n">
        <f aca="false">IFERROR(ABS((D55-C55)/C55),"")</f>
        <v>0.480701754385965</v>
      </c>
      <c r="F55" s="18" t="n">
        <f aca="false">ABS(D55-C55)</f>
        <v>137</v>
      </c>
    </row>
    <row r="56" customFormat="false" ht="15" hidden="false" customHeight="true" outlineLevel="0" collapsed="false">
      <c r="A56" s="18" t="s">
        <v>202</v>
      </c>
      <c r="B56" s="31" t="n">
        <f aca="false">Raw_Sales_Weekly!E715</f>
        <v>49</v>
      </c>
      <c r="C56" s="31" t="n">
        <f aca="false">Raw_Sales_Weekly!C715</f>
        <v>364</v>
      </c>
      <c r="D56" s="18" t="n">
        <f aca="false">ROUND(FORECAST(B56,Raw_Sales_Weekly!$C$667:$C$712,Raw_Sales_Weekly!$E$667:$E$712),0)</f>
        <v>147</v>
      </c>
      <c r="E56" s="32" t="n">
        <f aca="false">IFERROR(ABS((D56-C56)/C56),"")</f>
        <v>0.596153846153846</v>
      </c>
      <c r="F56" s="18" t="n">
        <f aca="false">ABS(D56-C56)</f>
        <v>217</v>
      </c>
    </row>
    <row r="57" customFormat="false" ht="15" hidden="false" customHeight="true" outlineLevel="0" collapsed="false">
      <c r="A57" s="18" t="s">
        <v>202</v>
      </c>
      <c r="B57" s="31" t="n">
        <f aca="false">Raw_Sales_Weekly!E716</f>
        <v>50</v>
      </c>
      <c r="C57" s="31" t="n">
        <f aca="false">Raw_Sales_Weekly!C716</f>
        <v>60</v>
      </c>
      <c r="D57" s="18" t="n">
        <f aca="false">ROUND(FORECAST(B57,Raw_Sales_Weekly!$C$667:$C$712,Raw_Sales_Weekly!$E$667:$E$712),0)</f>
        <v>145</v>
      </c>
      <c r="E57" s="32" t="n">
        <f aca="false">IFERROR(ABS((D57-C57)/C57),"")</f>
        <v>1.41666666666667</v>
      </c>
      <c r="F57" s="18" t="n">
        <f aca="false">ABS(D57-C57)</f>
        <v>85</v>
      </c>
    </row>
    <row r="58" customFormat="false" ht="15" hidden="false" customHeight="true" outlineLevel="0" collapsed="false">
      <c r="A58" s="18" t="s">
        <v>202</v>
      </c>
      <c r="B58" s="31" t="n">
        <f aca="false">Raw_Sales_Weekly!E717</f>
        <v>51</v>
      </c>
      <c r="C58" s="31" t="n">
        <f aca="false">Raw_Sales_Weekly!C717</f>
        <v>45</v>
      </c>
      <c r="D58" s="18" t="n">
        <f aca="false">ROUND(FORECAST(B58,Raw_Sales_Weekly!$C$667:$C$712,Raw_Sales_Weekly!$E$667:$E$712),0)</f>
        <v>143</v>
      </c>
      <c r="E58" s="32" t="n">
        <f aca="false">IFERROR(ABS((D58-C58)/C58),"")</f>
        <v>2.17777777777778</v>
      </c>
      <c r="F58" s="18" t="n">
        <f aca="false">ABS(D58-C58)</f>
        <v>98</v>
      </c>
    </row>
    <row r="59" customFormat="false" ht="15" hidden="false" customHeight="true" outlineLevel="0" collapsed="false">
      <c r="A59" s="18" t="s">
        <v>202</v>
      </c>
      <c r="B59" s="31" t="n">
        <f aca="false">Raw_Sales_Weekly!E718</f>
        <v>52</v>
      </c>
      <c r="C59" s="31" t="n">
        <f aca="false">Raw_Sales_Weekly!C718</f>
        <v>120</v>
      </c>
      <c r="D59" s="18" t="n">
        <f aca="false">ROUND(FORECAST(B59,Raw_Sales_Weekly!$C$667:$C$712,Raw_Sales_Weekly!$E$667:$E$712),0)</f>
        <v>142</v>
      </c>
      <c r="E59" s="32" t="n">
        <f aca="false">IFERROR(ABS((D59-C59)/C59),"")</f>
        <v>0.183333333333333</v>
      </c>
      <c r="F59" s="18" t="n">
        <f aca="false">ABS(D59-C59)</f>
        <v>22</v>
      </c>
    </row>
    <row r="60" customFormat="false" ht="15" hidden="false" customHeight="true" outlineLevel="0" collapsed="false">
      <c r="A60" s="18" t="s">
        <v>213</v>
      </c>
      <c r="B60" s="31" t="n">
        <f aca="false">Raw_Sales_Weekly!E886</f>
        <v>47</v>
      </c>
      <c r="C60" s="31" t="n">
        <f aca="false">Raw_Sales_Weekly!C886</f>
        <v>276</v>
      </c>
      <c r="D60" s="18" t="n">
        <f aca="false">ROUND(FORECAST(B60,Raw_Sales_Weekly!$C$840:$C$885,Raw_Sales_Weekly!$E$840:$E$885),0)</f>
        <v>266</v>
      </c>
      <c r="E60" s="32" t="n">
        <f aca="false">IFERROR(ABS((D60-C60)/C60),"")</f>
        <v>0.036231884057971</v>
      </c>
      <c r="F60" s="18" t="n">
        <f aca="false">ABS(D60-C60)</f>
        <v>10</v>
      </c>
    </row>
    <row r="61" customFormat="false" ht="15" hidden="false" customHeight="true" outlineLevel="0" collapsed="false">
      <c r="A61" s="18" t="s">
        <v>213</v>
      </c>
      <c r="B61" s="31" t="n">
        <f aca="false">Raw_Sales_Weekly!E887</f>
        <v>48</v>
      </c>
      <c r="C61" s="31" t="n">
        <f aca="false">Raw_Sales_Weekly!C887</f>
        <v>248</v>
      </c>
      <c r="D61" s="18" t="n">
        <f aca="false">ROUND(FORECAST(B61,Raw_Sales_Weekly!$C$840:$C$885,Raw_Sales_Weekly!$E$840:$E$885),0)</f>
        <v>267</v>
      </c>
      <c r="E61" s="32" t="n">
        <f aca="false">IFERROR(ABS((D61-C61)/C61),"")</f>
        <v>0.0766129032258065</v>
      </c>
      <c r="F61" s="18" t="n">
        <f aca="false">ABS(D61-C61)</f>
        <v>19</v>
      </c>
    </row>
    <row r="62" customFormat="false" ht="15" hidden="false" customHeight="true" outlineLevel="0" collapsed="false">
      <c r="A62" s="18" t="s">
        <v>213</v>
      </c>
      <c r="B62" s="31" t="n">
        <f aca="false">Raw_Sales_Weekly!E888</f>
        <v>49</v>
      </c>
      <c r="C62" s="31" t="n">
        <f aca="false">Raw_Sales_Weekly!C888</f>
        <v>264</v>
      </c>
      <c r="D62" s="18" t="n">
        <f aca="false">ROUND(FORECAST(B62,Raw_Sales_Weekly!$C$840:$C$885,Raw_Sales_Weekly!$E$840:$E$885),0)</f>
        <v>269</v>
      </c>
      <c r="E62" s="32" t="n">
        <f aca="false">IFERROR(ABS((D62-C62)/C62),"")</f>
        <v>0.0189393939393939</v>
      </c>
      <c r="F62" s="18" t="n">
        <f aca="false">ABS(D62-C62)</f>
        <v>5</v>
      </c>
    </row>
    <row r="63" customFormat="false" ht="15" hidden="false" customHeight="true" outlineLevel="0" collapsed="false">
      <c r="A63" s="18" t="s">
        <v>213</v>
      </c>
      <c r="B63" s="31" t="n">
        <f aca="false">Raw_Sales_Weekly!E889</f>
        <v>50</v>
      </c>
      <c r="C63" s="31" t="n">
        <f aca="false">Raw_Sales_Weekly!C889</f>
        <v>296</v>
      </c>
      <c r="D63" s="18" t="n">
        <f aca="false">ROUND(FORECAST(B63,Raw_Sales_Weekly!$C$840:$C$885,Raw_Sales_Weekly!$E$840:$E$885),0)</f>
        <v>271</v>
      </c>
      <c r="E63" s="32" t="n">
        <f aca="false">IFERROR(ABS((D63-C63)/C63),"")</f>
        <v>0.0844594594594595</v>
      </c>
      <c r="F63" s="18" t="n">
        <f aca="false">ABS(D63-C63)</f>
        <v>25</v>
      </c>
    </row>
    <row r="64" customFormat="false" ht="15" hidden="false" customHeight="true" outlineLevel="0" collapsed="false">
      <c r="A64" s="18" t="s">
        <v>213</v>
      </c>
      <c r="B64" s="31" t="n">
        <f aca="false">Raw_Sales_Weekly!E890</f>
        <v>51</v>
      </c>
      <c r="C64" s="31" t="n">
        <f aca="false">Raw_Sales_Weekly!C890</f>
        <v>197</v>
      </c>
      <c r="D64" s="18" t="n">
        <f aca="false">ROUND(FORECAST(B64,Raw_Sales_Weekly!$C$840:$C$885,Raw_Sales_Weekly!$E$840:$E$885),0)</f>
        <v>273</v>
      </c>
      <c r="E64" s="32" t="n">
        <f aca="false">IFERROR(ABS((D64-C64)/C64),"")</f>
        <v>0.385786802030457</v>
      </c>
      <c r="F64" s="18" t="n">
        <f aca="false">ABS(D64-C64)</f>
        <v>76</v>
      </c>
    </row>
    <row r="65" customFormat="false" ht="15" hidden="false" customHeight="true" outlineLevel="0" collapsed="false">
      <c r="A65" s="18" t="s">
        <v>213</v>
      </c>
      <c r="B65" s="31" t="n">
        <f aca="false">Raw_Sales_Weekly!E891</f>
        <v>52</v>
      </c>
      <c r="C65" s="31" t="n">
        <f aca="false">Raw_Sales_Weekly!C891</f>
        <v>266</v>
      </c>
      <c r="D65" s="18" t="n">
        <f aca="false">ROUND(FORECAST(B65,Raw_Sales_Weekly!$C$840:$C$885,Raw_Sales_Weekly!$E$840:$E$885),0)</f>
        <v>274</v>
      </c>
      <c r="E65" s="32" t="n">
        <f aca="false">IFERROR(ABS((D65-C65)/C65),"")</f>
        <v>0.0300751879699248</v>
      </c>
      <c r="F65" s="18" t="n">
        <f aca="false">ABS(D65-C65)</f>
        <v>8</v>
      </c>
    </row>
    <row r="66" customFormat="false" ht="15" hidden="false" customHeight="true" outlineLevel="0" collapsed="false">
      <c r="A66" s="18" t="s">
        <v>251</v>
      </c>
      <c r="B66" s="31" t="n">
        <f aca="false">Raw_Sales_Weekly!E1580</f>
        <v>47</v>
      </c>
      <c r="C66" s="31" t="n">
        <f aca="false">Raw_Sales_Weekly!C1580</f>
        <v>41</v>
      </c>
      <c r="D66" s="18" t="n">
        <f aca="false">ROUND(FORECAST(B66,Raw_Sales_Weekly!$C$1534:$C$1579,Raw_Sales_Weekly!$E$1534:$E$1579),0)</f>
        <v>44</v>
      </c>
      <c r="E66" s="32" t="n">
        <f aca="false">IFERROR(ABS((D66-C66)/C66),"")</f>
        <v>0.0731707317073171</v>
      </c>
      <c r="F66" s="18" t="n">
        <f aca="false">ABS(D66-C66)</f>
        <v>3</v>
      </c>
    </row>
    <row r="67" customFormat="false" ht="15" hidden="false" customHeight="true" outlineLevel="0" collapsed="false">
      <c r="A67" s="18" t="s">
        <v>251</v>
      </c>
      <c r="B67" s="31" t="n">
        <f aca="false">Raw_Sales_Weekly!E1581</f>
        <v>48</v>
      </c>
      <c r="C67" s="31" t="n">
        <f aca="false">Raw_Sales_Weekly!C1581</f>
        <v>52</v>
      </c>
      <c r="D67" s="18" t="n">
        <f aca="false">ROUND(FORECAST(B67,Raw_Sales_Weekly!$C$1534:$C$1579,Raw_Sales_Weekly!$E$1534:$E$1579),0)</f>
        <v>44</v>
      </c>
      <c r="E67" s="32" t="n">
        <f aca="false">IFERROR(ABS((D67-C67)/C67),"")</f>
        <v>0.153846153846154</v>
      </c>
      <c r="F67" s="18" t="n">
        <f aca="false">ABS(D67-C67)</f>
        <v>8</v>
      </c>
    </row>
    <row r="68" customFormat="false" ht="15" hidden="false" customHeight="true" outlineLevel="0" collapsed="false">
      <c r="A68" s="18" t="s">
        <v>251</v>
      </c>
      <c r="B68" s="31" t="n">
        <f aca="false">Raw_Sales_Weekly!E1582</f>
        <v>49</v>
      </c>
      <c r="C68" s="31" t="n">
        <f aca="false">Raw_Sales_Weekly!C1582</f>
        <v>43</v>
      </c>
      <c r="D68" s="18" t="n">
        <f aca="false">ROUND(FORECAST(B68,Raw_Sales_Weekly!$C$1534:$C$1579,Raw_Sales_Weekly!$E$1534:$E$1579),0)</f>
        <v>44</v>
      </c>
      <c r="E68" s="32" t="n">
        <f aca="false">IFERROR(ABS((D68-C68)/C68),"")</f>
        <v>0.0232558139534884</v>
      </c>
      <c r="F68" s="18" t="n">
        <f aca="false">ABS(D68-C68)</f>
        <v>1</v>
      </c>
    </row>
    <row r="69" customFormat="false" ht="15" hidden="false" customHeight="true" outlineLevel="0" collapsed="false">
      <c r="A69" s="18" t="s">
        <v>251</v>
      </c>
      <c r="B69" s="31" t="n">
        <f aca="false">Raw_Sales_Weekly!E1583</f>
        <v>50</v>
      </c>
      <c r="C69" s="31" t="n">
        <f aca="false">Raw_Sales_Weekly!C1583</f>
        <v>40</v>
      </c>
      <c r="D69" s="18" t="n">
        <f aca="false">ROUND(FORECAST(B69,Raw_Sales_Weekly!$C$1534:$C$1579,Raw_Sales_Weekly!$E$1534:$E$1579),0)</f>
        <v>44</v>
      </c>
      <c r="E69" s="32" t="n">
        <f aca="false">IFERROR(ABS((D69-C69)/C69),"")</f>
        <v>0.1</v>
      </c>
      <c r="F69" s="18" t="n">
        <f aca="false">ABS(D69-C69)</f>
        <v>4</v>
      </c>
    </row>
    <row r="70" customFormat="false" ht="15" hidden="false" customHeight="true" outlineLevel="0" collapsed="false">
      <c r="A70" s="18" t="s">
        <v>251</v>
      </c>
      <c r="B70" s="31" t="n">
        <f aca="false">Raw_Sales_Weekly!E1584</f>
        <v>51</v>
      </c>
      <c r="C70" s="31" t="n">
        <f aca="false">Raw_Sales_Weekly!C1584</f>
        <v>52</v>
      </c>
      <c r="D70" s="18" t="n">
        <f aca="false">ROUND(FORECAST(B70,Raw_Sales_Weekly!$C$1534:$C$1579,Raw_Sales_Weekly!$E$1534:$E$1579),0)</f>
        <v>44</v>
      </c>
      <c r="E70" s="32" t="n">
        <f aca="false">IFERROR(ABS((D70-C70)/C70),"")</f>
        <v>0.153846153846154</v>
      </c>
      <c r="F70" s="18" t="n">
        <f aca="false">ABS(D70-C70)</f>
        <v>8</v>
      </c>
    </row>
    <row r="71" customFormat="false" ht="15" hidden="false" customHeight="true" outlineLevel="0" collapsed="false">
      <c r="A71" s="18" t="s">
        <v>251</v>
      </c>
      <c r="B71" s="31" t="n">
        <f aca="false">Raw_Sales_Weekly!E1585</f>
        <v>52</v>
      </c>
      <c r="C71" s="31" t="n">
        <f aca="false">Raw_Sales_Weekly!C1585</f>
        <v>48</v>
      </c>
      <c r="D71" s="18" t="n">
        <f aca="false">ROUND(FORECAST(B71,Raw_Sales_Weekly!$C$1534:$C$1579,Raw_Sales_Weekly!$E$1534:$E$1579),0)</f>
        <v>44</v>
      </c>
      <c r="E71" s="32" t="n">
        <f aca="false">IFERROR(ABS((D71-C71)/C71),"")</f>
        <v>0.0833333333333333</v>
      </c>
      <c r="F71" s="18" t="n">
        <f aca="false">ABS(D71-C71)</f>
        <v>4</v>
      </c>
    </row>
    <row r="72" customFormat="false" ht="15" hidden="false" customHeight="true" outlineLevel="0" collapsed="false">
      <c r="A72" s="18" t="s">
        <v>210</v>
      </c>
      <c r="B72" s="31" t="n">
        <f aca="false">Raw_Sales_Weekly!E834</f>
        <v>47</v>
      </c>
      <c r="C72" s="31" t="n">
        <f aca="false">Raw_Sales_Weekly!C834</f>
        <v>146</v>
      </c>
      <c r="D72" s="18" t="n">
        <f aca="false">ROUND(FORECAST(B72,Raw_Sales_Weekly!$C$788:$C$833,Raw_Sales_Weekly!$E$788:$E$833),0)</f>
        <v>179</v>
      </c>
      <c r="E72" s="32" t="n">
        <f aca="false">IFERROR(ABS((D72-C72)/C72),"")</f>
        <v>0.226027397260274</v>
      </c>
      <c r="F72" s="18" t="n">
        <f aca="false">ABS(D72-C72)</f>
        <v>33</v>
      </c>
    </row>
    <row r="73" customFormat="false" ht="15" hidden="false" customHeight="true" outlineLevel="0" collapsed="false">
      <c r="A73" s="18" t="s">
        <v>210</v>
      </c>
      <c r="B73" s="31" t="n">
        <f aca="false">Raw_Sales_Weekly!E835</f>
        <v>48</v>
      </c>
      <c r="C73" s="31" t="n">
        <f aca="false">Raw_Sales_Weekly!C835</f>
        <v>207</v>
      </c>
      <c r="D73" s="18" t="n">
        <f aca="false">ROUND(FORECAST(B73,Raw_Sales_Weekly!$C$788:$C$833,Raw_Sales_Weekly!$E$788:$E$833),0)</f>
        <v>178</v>
      </c>
      <c r="E73" s="32" t="n">
        <f aca="false">IFERROR(ABS((D73-C73)/C73),"")</f>
        <v>0.140096618357488</v>
      </c>
      <c r="F73" s="18" t="n">
        <f aca="false">ABS(D73-C73)</f>
        <v>29</v>
      </c>
    </row>
    <row r="74" customFormat="false" ht="15" hidden="false" customHeight="true" outlineLevel="0" collapsed="false">
      <c r="A74" s="18" t="s">
        <v>210</v>
      </c>
      <c r="B74" s="31" t="n">
        <f aca="false">Raw_Sales_Weekly!E836</f>
        <v>49</v>
      </c>
      <c r="C74" s="31" t="n">
        <f aca="false">Raw_Sales_Weekly!C836</f>
        <v>97</v>
      </c>
      <c r="D74" s="18" t="n">
        <f aca="false">ROUND(FORECAST(B74,Raw_Sales_Weekly!$C$788:$C$833,Raw_Sales_Weekly!$E$788:$E$833),0)</f>
        <v>178</v>
      </c>
      <c r="E74" s="32" t="n">
        <f aca="false">IFERROR(ABS((D74-C74)/C74),"")</f>
        <v>0.835051546391753</v>
      </c>
      <c r="F74" s="18" t="n">
        <f aca="false">ABS(D74-C74)</f>
        <v>81</v>
      </c>
    </row>
    <row r="75" customFormat="false" ht="15" hidden="false" customHeight="true" outlineLevel="0" collapsed="false">
      <c r="A75" s="18" t="s">
        <v>210</v>
      </c>
      <c r="B75" s="31" t="n">
        <f aca="false">Raw_Sales_Weekly!E837</f>
        <v>50</v>
      </c>
      <c r="C75" s="31" t="n">
        <f aca="false">Raw_Sales_Weekly!C837</f>
        <v>196</v>
      </c>
      <c r="D75" s="18" t="n">
        <f aca="false">ROUND(FORECAST(B75,Raw_Sales_Weekly!$C$788:$C$833,Raw_Sales_Weekly!$E$788:$E$833),0)</f>
        <v>178</v>
      </c>
      <c r="E75" s="32" t="n">
        <f aca="false">IFERROR(ABS((D75-C75)/C75),"")</f>
        <v>0.0918367346938776</v>
      </c>
      <c r="F75" s="18" t="n">
        <f aca="false">ABS(D75-C75)</f>
        <v>18</v>
      </c>
    </row>
    <row r="76" customFormat="false" ht="15" hidden="false" customHeight="true" outlineLevel="0" collapsed="false">
      <c r="A76" s="18" t="s">
        <v>210</v>
      </c>
      <c r="B76" s="31" t="n">
        <f aca="false">Raw_Sales_Weekly!E838</f>
        <v>51</v>
      </c>
      <c r="C76" s="31" t="n">
        <f aca="false">Raw_Sales_Weekly!C838</f>
        <v>179</v>
      </c>
      <c r="D76" s="18" t="n">
        <f aca="false">ROUND(FORECAST(B76,Raw_Sales_Weekly!$C$788:$C$833,Raw_Sales_Weekly!$E$788:$E$833),0)</f>
        <v>178</v>
      </c>
      <c r="E76" s="32" t="n">
        <f aca="false">IFERROR(ABS((D76-C76)/C76),"")</f>
        <v>0.00558659217877095</v>
      </c>
      <c r="F76" s="18" t="n">
        <f aca="false">ABS(D76-C76)</f>
        <v>1</v>
      </c>
    </row>
    <row r="77" customFormat="false" ht="15" hidden="false" customHeight="true" outlineLevel="0" collapsed="false">
      <c r="A77" s="18" t="s">
        <v>210</v>
      </c>
      <c r="B77" s="31" t="n">
        <f aca="false">Raw_Sales_Weekly!E839</f>
        <v>52</v>
      </c>
      <c r="C77" s="31" t="n">
        <f aca="false">Raw_Sales_Weekly!C839</f>
        <v>145</v>
      </c>
      <c r="D77" s="18" t="n">
        <f aca="false">ROUND(FORECAST(B77,Raw_Sales_Weekly!$C$788:$C$833,Raw_Sales_Weekly!$E$788:$E$833),0)</f>
        <v>178</v>
      </c>
      <c r="E77" s="32" t="n">
        <f aca="false">IFERROR(ABS((D77-C77)/C77),"")</f>
        <v>0.227586206896552</v>
      </c>
      <c r="F77" s="18" t="n">
        <f aca="false">ABS(D77-C77)</f>
        <v>33</v>
      </c>
    </row>
    <row r="78" customFormat="false" ht="15" hidden="false" customHeight="true" outlineLevel="0" collapsed="false">
      <c r="A78" s="18" t="s">
        <v>232</v>
      </c>
      <c r="B78" s="31" t="n">
        <f aca="false">Raw_Sales_Weekly!E1248</f>
        <v>47</v>
      </c>
      <c r="C78" s="31" t="n">
        <f aca="false">Raw_Sales_Weekly!C1248</f>
        <v>58</v>
      </c>
      <c r="D78" s="18" t="n">
        <f aca="false">ROUND(FORECAST(B78,Raw_Sales_Weekly!$C$1202:$C$1247,Raw_Sales_Weekly!$E$1202:$E$1247),0)</f>
        <v>69</v>
      </c>
      <c r="E78" s="32" t="n">
        <f aca="false">IFERROR(ABS((D78-C78)/C78),"")</f>
        <v>0.189655172413793</v>
      </c>
      <c r="F78" s="18" t="n">
        <f aca="false">ABS(D78-C78)</f>
        <v>11</v>
      </c>
    </row>
    <row r="79" customFormat="false" ht="15" hidden="false" customHeight="true" outlineLevel="0" collapsed="false">
      <c r="A79" s="18" t="s">
        <v>232</v>
      </c>
      <c r="B79" s="31" t="n">
        <f aca="false">Raw_Sales_Weekly!E1249</f>
        <v>48</v>
      </c>
      <c r="C79" s="31" t="n">
        <f aca="false">Raw_Sales_Weekly!C1249</f>
        <v>40</v>
      </c>
      <c r="D79" s="18" t="n">
        <f aca="false">ROUND(FORECAST(B79,Raw_Sales_Weekly!$C$1202:$C$1247,Raw_Sales_Weekly!$E$1202:$E$1247),0)</f>
        <v>68</v>
      </c>
      <c r="E79" s="32" t="n">
        <f aca="false">IFERROR(ABS((D79-C79)/C79),"")</f>
        <v>0.7</v>
      </c>
      <c r="F79" s="18" t="n">
        <f aca="false">ABS(D79-C79)</f>
        <v>28</v>
      </c>
    </row>
    <row r="80" customFormat="false" ht="15" hidden="false" customHeight="true" outlineLevel="0" collapsed="false">
      <c r="A80" s="18" t="s">
        <v>232</v>
      </c>
      <c r="B80" s="31" t="n">
        <f aca="false">Raw_Sales_Weekly!E1250</f>
        <v>49</v>
      </c>
      <c r="C80" s="31" t="n">
        <f aca="false">Raw_Sales_Weekly!C1250</f>
        <v>22</v>
      </c>
      <c r="D80" s="18" t="n">
        <f aca="false">ROUND(FORECAST(B80,Raw_Sales_Weekly!$C$1202:$C$1247,Raw_Sales_Weekly!$E$1202:$E$1247),0)</f>
        <v>68</v>
      </c>
      <c r="E80" s="32" t="n">
        <f aca="false">IFERROR(ABS((D80-C80)/C80),"")</f>
        <v>2.09090909090909</v>
      </c>
      <c r="F80" s="18" t="n">
        <f aca="false">ABS(D80-C80)</f>
        <v>46</v>
      </c>
    </row>
    <row r="81" customFormat="false" ht="15" hidden="false" customHeight="true" outlineLevel="0" collapsed="false">
      <c r="A81" s="18" t="s">
        <v>232</v>
      </c>
      <c r="B81" s="31" t="n">
        <f aca="false">Raw_Sales_Weekly!E1251</f>
        <v>50</v>
      </c>
      <c r="C81" s="31" t="n">
        <f aca="false">Raw_Sales_Weekly!C1251</f>
        <v>17</v>
      </c>
      <c r="D81" s="18" t="n">
        <f aca="false">ROUND(FORECAST(B81,Raw_Sales_Weekly!$C$1202:$C$1247,Raw_Sales_Weekly!$E$1202:$E$1247),0)</f>
        <v>68</v>
      </c>
      <c r="E81" s="32" t="n">
        <f aca="false">IFERROR(ABS((D81-C81)/C81),"")</f>
        <v>3</v>
      </c>
      <c r="F81" s="18" t="n">
        <f aca="false">ABS(D81-C81)</f>
        <v>51</v>
      </c>
    </row>
    <row r="82" customFormat="false" ht="15" hidden="false" customHeight="true" outlineLevel="0" collapsed="false">
      <c r="A82" s="18" t="s">
        <v>232</v>
      </c>
      <c r="B82" s="31" t="n">
        <f aca="false">Raw_Sales_Weekly!E1252</f>
        <v>51</v>
      </c>
      <c r="C82" s="31" t="n">
        <f aca="false">Raw_Sales_Weekly!C1252</f>
        <v>47</v>
      </c>
      <c r="D82" s="18" t="n">
        <f aca="false">ROUND(FORECAST(B82,Raw_Sales_Weekly!$C$1202:$C$1247,Raw_Sales_Weekly!$E$1202:$E$1247),0)</f>
        <v>68</v>
      </c>
      <c r="E82" s="32" t="n">
        <f aca="false">IFERROR(ABS((D82-C82)/C82),"")</f>
        <v>0.446808510638298</v>
      </c>
      <c r="F82" s="18" t="n">
        <f aca="false">ABS(D82-C82)</f>
        <v>21</v>
      </c>
    </row>
    <row r="83" customFormat="false" ht="15" hidden="false" customHeight="true" outlineLevel="0" collapsed="false">
      <c r="A83" s="18" t="s">
        <v>232</v>
      </c>
      <c r="B83" s="31" t="n">
        <f aca="false">Raw_Sales_Weekly!E1253</f>
        <v>52</v>
      </c>
      <c r="C83" s="31" t="n">
        <f aca="false">Raw_Sales_Weekly!C1253</f>
        <v>65</v>
      </c>
      <c r="D83" s="18" t="n">
        <f aca="false">ROUND(FORECAST(B83,Raw_Sales_Weekly!$C$1202:$C$1247,Raw_Sales_Weekly!$E$1202:$E$1247),0)</f>
        <v>68</v>
      </c>
      <c r="E83" s="32" t="n">
        <f aca="false">IFERROR(ABS((D83-C83)/C83),"")</f>
        <v>0.0461538461538462</v>
      </c>
      <c r="F83" s="18" t="n">
        <f aca="false">ABS(D83-C83)</f>
        <v>3</v>
      </c>
    </row>
    <row r="84" customFormat="false" ht="15" hidden="false" customHeight="true" outlineLevel="0" collapsed="false">
      <c r="A84" s="18" t="s">
        <v>185</v>
      </c>
      <c r="B84" s="31" t="n">
        <f aca="false">Raw_Sales_Weekly!E434</f>
        <v>47</v>
      </c>
      <c r="C84" s="31" t="n">
        <f aca="false">Raw_Sales_Weekly!C434</f>
        <v>122</v>
      </c>
      <c r="D84" s="18" t="n">
        <f aca="false">ROUND(FORECAST(B84,Raw_Sales_Weekly!$C$388:$C$433,Raw_Sales_Weekly!$E$388:$E$433),0)</f>
        <v>167</v>
      </c>
      <c r="E84" s="32" t="n">
        <f aca="false">IFERROR(ABS((D84-C84)/C84),"")</f>
        <v>0.368852459016393</v>
      </c>
      <c r="F84" s="18" t="n">
        <f aca="false">ABS(D84-C84)</f>
        <v>45</v>
      </c>
    </row>
    <row r="85" customFormat="false" ht="15" hidden="false" customHeight="true" outlineLevel="0" collapsed="false">
      <c r="A85" s="18" t="s">
        <v>185</v>
      </c>
      <c r="B85" s="31" t="n">
        <f aca="false">Raw_Sales_Weekly!E435</f>
        <v>48</v>
      </c>
      <c r="C85" s="31" t="n">
        <f aca="false">Raw_Sales_Weekly!C435</f>
        <v>169</v>
      </c>
      <c r="D85" s="18" t="n">
        <f aca="false">ROUND(FORECAST(B85,Raw_Sales_Weekly!$C$388:$C$433,Raw_Sales_Weekly!$E$388:$E$433),0)</f>
        <v>166</v>
      </c>
      <c r="E85" s="32" t="n">
        <f aca="false">IFERROR(ABS((D85-C85)/C85),"")</f>
        <v>0.0177514792899408</v>
      </c>
      <c r="F85" s="18" t="n">
        <f aca="false">ABS(D85-C85)</f>
        <v>3</v>
      </c>
    </row>
    <row r="86" customFormat="false" ht="15" hidden="false" customHeight="true" outlineLevel="0" collapsed="false">
      <c r="A86" s="18" t="s">
        <v>185</v>
      </c>
      <c r="B86" s="31" t="n">
        <f aca="false">Raw_Sales_Weekly!E436</f>
        <v>49</v>
      </c>
      <c r="C86" s="31" t="n">
        <f aca="false">Raw_Sales_Weekly!C436</f>
        <v>138</v>
      </c>
      <c r="D86" s="18" t="n">
        <f aca="false">ROUND(FORECAST(B86,Raw_Sales_Weekly!$C$388:$C$433,Raw_Sales_Weekly!$E$388:$E$433),0)</f>
        <v>166</v>
      </c>
      <c r="E86" s="32" t="n">
        <f aca="false">IFERROR(ABS((D86-C86)/C86),"")</f>
        <v>0.202898550724638</v>
      </c>
      <c r="F86" s="18" t="n">
        <f aca="false">ABS(D86-C86)</f>
        <v>28</v>
      </c>
    </row>
    <row r="87" customFormat="false" ht="15" hidden="false" customHeight="true" outlineLevel="0" collapsed="false">
      <c r="A87" s="18" t="s">
        <v>185</v>
      </c>
      <c r="B87" s="31" t="n">
        <f aca="false">Raw_Sales_Weekly!E437</f>
        <v>50</v>
      </c>
      <c r="C87" s="31" t="n">
        <f aca="false">Raw_Sales_Weekly!C437</f>
        <v>117</v>
      </c>
      <c r="D87" s="18" t="n">
        <f aca="false">ROUND(FORECAST(B87,Raw_Sales_Weekly!$C$388:$C$433,Raw_Sales_Weekly!$E$388:$E$433),0)</f>
        <v>165</v>
      </c>
      <c r="E87" s="32" t="n">
        <f aca="false">IFERROR(ABS((D87-C87)/C87),"")</f>
        <v>0.41025641025641</v>
      </c>
      <c r="F87" s="18" t="n">
        <f aca="false">ABS(D87-C87)</f>
        <v>48</v>
      </c>
    </row>
    <row r="88" customFormat="false" ht="15" hidden="false" customHeight="true" outlineLevel="0" collapsed="false">
      <c r="A88" s="18" t="s">
        <v>185</v>
      </c>
      <c r="B88" s="31" t="n">
        <f aca="false">Raw_Sales_Weekly!E438</f>
        <v>51</v>
      </c>
      <c r="C88" s="31" t="n">
        <f aca="false">Raw_Sales_Weekly!C438</f>
        <v>141</v>
      </c>
      <c r="D88" s="18" t="n">
        <f aca="false">ROUND(FORECAST(B88,Raw_Sales_Weekly!$C$388:$C$433,Raw_Sales_Weekly!$E$388:$E$433),0)</f>
        <v>165</v>
      </c>
      <c r="E88" s="32" t="n">
        <f aca="false">IFERROR(ABS((D88-C88)/C88),"")</f>
        <v>0.170212765957447</v>
      </c>
      <c r="F88" s="18" t="n">
        <f aca="false">ABS(D88-C88)</f>
        <v>24</v>
      </c>
    </row>
    <row r="89" customFormat="false" ht="15" hidden="false" customHeight="true" outlineLevel="0" collapsed="false">
      <c r="A89" s="18" t="s">
        <v>185</v>
      </c>
      <c r="B89" s="31" t="n">
        <f aca="false">Raw_Sales_Weekly!E439</f>
        <v>52</v>
      </c>
      <c r="C89" s="31" t="n">
        <f aca="false">Raw_Sales_Weekly!C439</f>
        <v>138</v>
      </c>
      <c r="D89" s="18" t="n">
        <f aca="false">ROUND(FORECAST(B89,Raw_Sales_Weekly!$C$388:$C$433,Raw_Sales_Weekly!$E$388:$E$433),0)</f>
        <v>164</v>
      </c>
      <c r="E89" s="32" t="n">
        <f aca="false">IFERROR(ABS((D89-C89)/C89),"")</f>
        <v>0.188405797101449</v>
      </c>
      <c r="F89" s="18" t="n">
        <f aca="false">ABS(D89-C89)</f>
        <v>26</v>
      </c>
    </row>
    <row r="90" customFormat="false" ht="15" hidden="false" customHeight="true" outlineLevel="0" collapsed="false">
      <c r="A90" s="18" t="s">
        <v>195</v>
      </c>
      <c r="B90" s="31" t="n">
        <f aca="false">Raw_Sales_Weekly!E557</f>
        <v>45</v>
      </c>
      <c r="C90" s="31" t="n">
        <f aca="false">Raw_Sales_Weekly!C557</f>
        <v>46</v>
      </c>
      <c r="D90" s="18" t="n">
        <f aca="false">ROUND(FORECAST(B90,Raw_Sales_Weekly!$C$513:$C$556,Raw_Sales_Weekly!$E$513:$E$556),0)</f>
        <v>41</v>
      </c>
      <c r="E90" s="32" t="n">
        <f aca="false">IFERROR(ABS((D90-C90)/C90),"")</f>
        <v>0.108695652173913</v>
      </c>
      <c r="F90" s="18" t="n">
        <f aca="false">ABS(D90-C90)</f>
        <v>5</v>
      </c>
    </row>
    <row r="91" customFormat="false" ht="15" hidden="false" customHeight="true" outlineLevel="0" collapsed="false">
      <c r="A91" s="18" t="s">
        <v>195</v>
      </c>
      <c r="B91" s="31" t="n">
        <f aca="false">Raw_Sales_Weekly!E558</f>
        <v>46</v>
      </c>
      <c r="C91" s="31" t="n">
        <f aca="false">Raw_Sales_Weekly!C558</f>
        <v>43</v>
      </c>
      <c r="D91" s="18" t="n">
        <f aca="false">ROUND(FORECAST(B91,Raw_Sales_Weekly!$C$513:$C$556,Raw_Sales_Weekly!$E$513:$E$556),0)</f>
        <v>41</v>
      </c>
      <c r="E91" s="32" t="n">
        <f aca="false">IFERROR(ABS((D91-C91)/C91),"")</f>
        <v>0.0465116279069767</v>
      </c>
      <c r="F91" s="18" t="n">
        <f aca="false">ABS(D91-C91)</f>
        <v>2</v>
      </c>
    </row>
    <row r="92" customFormat="false" ht="15" hidden="false" customHeight="true" outlineLevel="0" collapsed="false">
      <c r="A92" s="18" t="s">
        <v>195</v>
      </c>
      <c r="B92" s="31" t="n">
        <f aca="false">Raw_Sales_Weekly!E559</f>
        <v>47</v>
      </c>
      <c r="C92" s="31" t="n">
        <f aca="false">Raw_Sales_Weekly!C559</f>
        <v>12</v>
      </c>
      <c r="D92" s="18" t="n">
        <f aca="false">ROUND(FORECAST(B92,Raw_Sales_Weekly!$C$513:$C$556,Raw_Sales_Weekly!$E$513:$E$556),0)</f>
        <v>40</v>
      </c>
      <c r="E92" s="32" t="n">
        <f aca="false">IFERROR(ABS((D92-C92)/C92),"")</f>
        <v>2.33333333333333</v>
      </c>
      <c r="F92" s="18" t="n">
        <f aca="false">ABS(D92-C92)</f>
        <v>28</v>
      </c>
    </row>
    <row r="93" customFormat="false" ht="15" hidden="false" customHeight="true" outlineLevel="0" collapsed="false">
      <c r="A93" s="18" t="s">
        <v>195</v>
      </c>
      <c r="B93" s="31" t="n">
        <f aca="false">Raw_Sales_Weekly!E560</f>
        <v>48</v>
      </c>
      <c r="C93" s="31" t="n">
        <f aca="false">Raw_Sales_Weekly!C560</f>
        <v>0</v>
      </c>
      <c r="D93" s="18" t="n">
        <f aca="false">ROUND(FORECAST(B93,Raw_Sales_Weekly!$C$513:$C$556,Raw_Sales_Weekly!$E$513:$E$556),0)</f>
        <v>40</v>
      </c>
      <c r="E93" s="32" t="str">
        <f aca="false">IFERROR(ABS((D93-C93)/C93),"")</f>
        <v/>
      </c>
      <c r="F93" s="18" t="n">
        <f aca="false">ABS(D93-C93)</f>
        <v>40</v>
      </c>
    </row>
    <row r="94" customFormat="false" ht="15" hidden="false" customHeight="true" outlineLevel="0" collapsed="false">
      <c r="A94" s="18" t="s">
        <v>195</v>
      </c>
      <c r="B94" s="31" t="n">
        <f aca="false">Raw_Sales_Weekly!E561</f>
        <v>49</v>
      </c>
      <c r="C94" s="31" t="n">
        <f aca="false">Raw_Sales_Weekly!C561</f>
        <v>24</v>
      </c>
      <c r="D94" s="18" t="n">
        <f aca="false">ROUND(FORECAST(B94,Raw_Sales_Weekly!$C$513:$C$556,Raw_Sales_Weekly!$E$513:$E$556),0)</f>
        <v>40</v>
      </c>
      <c r="E94" s="32" t="n">
        <f aca="false">IFERROR(ABS((D94-C94)/C94),"")</f>
        <v>0.666666666666667</v>
      </c>
      <c r="F94" s="18" t="n">
        <f aca="false">ABS(D94-C94)</f>
        <v>16</v>
      </c>
    </row>
    <row r="95" customFormat="false" ht="15" hidden="false" customHeight="true" outlineLevel="0" collapsed="false">
      <c r="A95" s="18" t="s">
        <v>195</v>
      </c>
      <c r="B95" s="31" t="n">
        <f aca="false">Raw_Sales_Weekly!E562</f>
        <v>50</v>
      </c>
      <c r="C95" s="31" t="n">
        <f aca="false">Raw_Sales_Weekly!C562</f>
        <v>7</v>
      </c>
      <c r="D95" s="18" t="n">
        <f aca="false">ROUND(FORECAST(B95,Raw_Sales_Weekly!$C$513:$C$556,Raw_Sales_Weekly!$E$513:$E$556),0)</f>
        <v>40</v>
      </c>
      <c r="E95" s="32" t="n">
        <f aca="false">IFERROR(ABS((D95-C95)/C95),"")</f>
        <v>4.71428571428571</v>
      </c>
      <c r="F95" s="18" t="n">
        <f aca="false">ABS(D95-C95)</f>
        <v>33</v>
      </c>
    </row>
    <row r="96" customFormat="false" ht="15" hidden="false" customHeight="true" outlineLevel="0" collapsed="false">
      <c r="A96" s="18" t="s">
        <v>234</v>
      </c>
      <c r="B96" s="31" t="n">
        <f aca="false">Raw_Sales_Weekly!E1299</f>
        <v>46</v>
      </c>
      <c r="C96" s="31" t="n">
        <f aca="false">Raw_Sales_Weekly!C1299</f>
        <v>77</v>
      </c>
      <c r="D96" s="18" t="n">
        <f aca="false">ROUND(FORECAST(B96,Raw_Sales_Weekly!$C$1254:$C$1298,Raw_Sales_Weekly!$E$1254:$E$1298),0)</f>
        <v>109</v>
      </c>
      <c r="E96" s="32" t="n">
        <f aca="false">IFERROR(ABS((D96-C96)/C96),"")</f>
        <v>0.415584415584416</v>
      </c>
      <c r="F96" s="18" t="n">
        <f aca="false">ABS(D96-C96)</f>
        <v>32</v>
      </c>
    </row>
    <row r="97" customFormat="false" ht="15" hidden="false" customHeight="true" outlineLevel="0" collapsed="false">
      <c r="A97" s="18" t="s">
        <v>234</v>
      </c>
      <c r="B97" s="31" t="n">
        <f aca="false">Raw_Sales_Weekly!E1300</f>
        <v>47</v>
      </c>
      <c r="C97" s="31" t="n">
        <f aca="false">Raw_Sales_Weekly!C1300</f>
        <v>73</v>
      </c>
      <c r="D97" s="18" t="n">
        <f aca="false">ROUND(FORECAST(B97,Raw_Sales_Weekly!$C$1254:$C$1298,Raw_Sales_Weekly!$E$1254:$E$1298),0)</f>
        <v>109</v>
      </c>
      <c r="E97" s="32" t="n">
        <f aca="false">IFERROR(ABS((D97-C97)/C97),"")</f>
        <v>0.493150684931507</v>
      </c>
      <c r="F97" s="18" t="n">
        <f aca="false">ABS(D97-C97)</f>
        <v>36</v>
      </c>
    </row>
    <row r="98" customFormat="false" ht="15" hidden="false" customHeight="true" outlineLevel="0" collapsed="false">
      <c r="A98" s="18" t="s">
        <v>234</v>
      </c>
      <c r="B98" s="31" t="n">
        <f aca="false">Raw_Sales_Weekly!E1301</f>
        <v>48</v>
      </c>
      <c r="C98" s="31" t="n">
        <f aca="false">Raw_Sales_Weekly!C1301</f>
        <v>12</v>
      </c>
      <c r="D98" s="18" t="n">
        <f aca="false">ROUND(FORECAST(B98,Raw_Sales_Weekly!$C$1254:$C$1298,Raw_Sales_Weekly!$E$1254:$E$1298),0)</f>
        <v>109</v>
      </c>
      <c r="E98" s="32" t="n">
        <f aca="false">IFERROR(ABS((D98-C98)/C98),"")</f>
        <v>8.08333333333333</v>
      </c>
      <c r="F98" s="18" t="n">
        <f aca="false">ABS(D98-C98)</f>
        <v>97</v>
      </c>
    </row>
    <row r="99" customFormat="false" ht="15" hidden="false" customHeight="true" outlineLevel="0" collapsed="false">
      <c r="A99" s="18" t="s">
        <v>234</v>
      </c>
      <c r="B99" s="31" t="n">
        <f aca="false">Raw_Sales_Weekly!E1302</f>
        <v>49</v>
      </c>
      <c r="C99" s="31" t="n">
        <f aca="false">Raw_Sales_Weekly!C1302</f>
        <v>176</v>
      </c>
      <c r="D99" s="18" t="n">
        <f aca="false">ROUND(FORECAST(B99,Raw_Sales_Weekly!$C$1254:$C$1298,Raw_Sales_Weekly!$E$1254:$E$1298),0)</f>
        <v>110</v>
      </c>
      <c r="E99" s="32" t="n">
        <f aca="false">IFERROR(ABS((D99-C99)/C99),"")</f>
        <v>0.375</v>
      </c>
      <c r="F99" s="18" t="n">
        <f aca="false">ABS(D99-C99)</f>
        <v>66</v>
      </c>
    </row>
    <row r="100" customFormat="false" ht="15" hidden="false" customHeight="true" outlineLevel="0" collapsed="false">
      <c r="A100" s="18" t="s">
        <v>234</v>
      </c>
      <c r="B100" s="31" t="n">
        <f aca="false">Raw_Sales_Weekly!E1303</f>
        <v>50</v>
      </c>
      <c r="C100" s="31" t="n">
        <f aca="false">Raw_Sales_Weekly!C1303</f>
        <v>196</v>
      </c>
      <c r="D100" s="18" t="n">
        <f aca="false">ROUND(FORECAST(B100,Raw_Sales_Weekly!$C$1254:$C$1298,Raw_Sales_Weekly!$E$1254:$E$1298),0)</f>
        <v>110</v>
      </c>
      <c r="E100" s="32" t="n">
        <f aca="false">IFERROR(ABS((D100-C100)/C100),"")</f>
        <v>0.438775510204082</v>
      </c>
      <c r="F100" s="18" t="n">
        <f aca="false">ABS(D100-C100)</f>
        <v>86</v>
      </c>
    </row>
    <row r="101" customFormat="false" ht="15" hidden="false" customHeight="true" outlineLevel="0" collapsed="false">
      <c r="A101" s="18" t="s">
        <v>234</v>
      </c>
      <c r="B101" s="31" t="n">
        <f aca="false">Raw_Sales_Weekly!E1304</f>
        <v>51</v>
      </c>
      <c r="C101" s="31" t="n">
        <f aca="false">Raw_Sales_Weekly!C1304</f>
        <v>195</v>
      </c>
      <c r="D101" s="18" t="n">
        <f aca="false">ROUND(FORECAST(B101,Raw_Sales_Weekly!$C$1254:$C$1298,Raw_Sales_Weekly!$E$1254:$E$1298),0)</f>
        <v>110</v>
      </c>
      <c r="E101" s="32" t="n">
        <f aca="false">IFERROR(ABS((D101-C101)/C101),"")</f>
        <v>0.435897435897436</v>
      </c>
      <c r="F101" s="18" t="n">
        <f aca="false">ABS(D101-C101)</f>
        <v>85</v>
      </c>
    </row>
    <row r="102" customFormat="false" ht="15" hidden="false" customHeight="true" outlineLevel="0" collapsed="false">
      <c r="A102" s="18" t="s">
        <v>171</v>
      </c>
      <c r="B102" s="31" t="n">
        <f aca="false">Raw_Sales_Weekly!E216</f>
        <v>47</v>
      </c>
      <c r="C102" s="31" t="n">
        <f aca="false">Raw_Sales_Weekly!C216</f>
        <v>144</v>
      </c>
      <c r="D102" s="18" t="n">
        <f aca="false">ROUND(FORECAST(B102,Raw_Sales_Weekly!$C$170:$C$215,Raw_Sales_Weekly!$E$170:$E$215),0)</f>
        <v>167</v>
      </c>
      <c r="E102" s="32" t="n">
        <f aca="false">IFERROR(ABS((D102-C102)/C102),"")</f>
        <v>0.159722222222222</v>
      </c>
      <c r="F102" s="18" t="n">
        <f aca="false">ABS(D102-C102)</f>
        <v>23</v>
      </c>
    </row>
    <row r="103" customFormat="false" ht="15" hidden="false" customHeight="true" outlineLevel="0" collapsed="false">
      <c r="A103" s="18" t="s">
        <v>171</v>
      </c>
      <c r="B103" s="31" t="n">
        <f aca="false">Raw_Sales_Weekly!E217</f>
        <v>48</v>
      </c>
      <c r="C103" s="31" t="n">
        <f aca="false">Raw_Sales_Weekly!C217</f>
        <v>127</v>
      </c>
      <c r="D103" s="18" t="n">
        <f aca="false">ROUND(FORECAST(B103,Raw_Sales_Weekly!$C$170:$C$215,Raw_Sales_Weekly!$E$170:$E$215),0)</f>
        <v>166</v>
      </c>
      <c r="E103" s="32" t="n">
        <f aca="false">IFERROR(ABS((D103-C103)/C103),"")</f>
        <v>0.307086614173228</v>
      </c>
      <c r="F103" s="18" t="n">
        <f aca="false">ABS(D103-C103)</f>
        <v>39</v>
      </c>
    </row>
    <row r="104" customFormat="false" ht="15" hidden="false" customHeight="true" outlineLevel="0" collapsed="false">
      <c r="A104" s="18" t="s">
        <v>171</v>
      </c>
      <c r="B104" s="31" t="n">
        <f aca="false">Raw_Sales_Weekly!E218</f>
        <v>49</v>
      </c>
      <c r="C104" s="31" t="n">
        <f aca="false">Raw_Sales_Weekly!C218</f>
        <v>145</v>
      </c>
      <c r="D104" s="18" t="n">
        <f aca="false">ROUND(FORECAST(B104,Raw_Sales_Weekly!$C$170:$C$215,Raw_Sales_Weekly!$E$170:$E$215),0)</f>
        <v>166</v>
      </c>
      <c r="E104" s="32" t="n">
        <f aca="false">IFERROR(ABS((D104-C104)/C104),"")</f>
        <v>0.144827586206897</v>
      </c>
      <c r="F104" s="18" t="n">
        <f aca="false">ABS(D104-C104)</f>
        <v>21</v>
      </c>
    </row>
    <row r="105" customFormat="false" ht="15" hidden="false" customHeight="true" outlineLevel="0" collapsed="false">
      <c r="A105" s="18" t="s">
        <v>171</v>
      </c>
      <c r="B105" s="31" t="n">
        <f aca="false">Raw_Sales_Weekly!E219</f>
        <v>50</v>
      </c>
      <c r="C105" s="31" t="n">
        <f aca="false">Raw_Sales_Weekly!C219</f>
        <v>125</v>
      </c>
      <c r="D105" s="18" t="n">
        <f aca="false">ROUND(FORECAST(B105,Raw_Sales_Weekly!$C$170:$C$215,Raw_Sales_Weekly!$E$170:$E$215),0)</f>
        <v>165</v>
      </c>
      <c r="E105" s="32" t="n">
        <f aca="false">IFERROR(ABS((D105-C105)/C105),"")</f>
        <v>0.32</v>
      </c>
      <c r="F105" s="18" t="n">
        <f aca="false">ABS(D105-C105)</f>
        <v>40</v>
      </c>
    </row>
    <row r="106" customFormat="false" ht="15" hidden="false" customHeight="true" outlineLevel="0" collapsed="false">
      <c r="A106" s="18" t="s">
        <v>171</v>
      </c>
      <c r="B106" s="31" t="n">
        <f aca="false">Raw_Sales_Weekly!E220</f>
        <v>51</v>
      </c>
      <c r="C106" s="31" t="n">
        <f aca="false">Raw_Sales_Weekly!C220</f>
        <v>153</v>
      </c>
      <c r="D106" s="18" t="n">
        <f aca="false">ROUND(FORECAST(B106,Raw_Sales_Weekly!$C$170:$C$215,Raw_Sales_Weekly!$E$170:$E$215),0)</f>
        <v>165</v>
      </c>
      <c r="E106" s="32" t="n">
        <f aca="false">IFERROR(ABS((D106-C106)/C106),"")</f>
        <v>0.0784313725490196</v>
      </c>
      <c r="F106" s="18" t="n">
        <f aca="false">ABS(D106-C106)</f>
        <v>12</v>
      </c>
    </row>
    <row r="107" customFormat="false" ht="15" hidden="false" customHeight="true" outlineLevel="0" collapsed="false">
      <c r="A107" s="18" t="s">
        <v>171</v>
      </c>
      <c r="B107" s="31" t="n">
        <f aca="false">Raw_Sales_Weekly!E221</f>
        <v>52</v>
      </c>
      <c r="C107" s="31" t="n">
        <f aca="false">Raw_Sales_Weekly!C221</f>
        <v>164</v>
      </c>
      <c r="D107" s="18" t="n">
        <f aca="false">ROUND(FORECAST(B107,Raw_Sales_Weekly!$C$170:$C$215,Raw_Sales_Weekly!$E$170:$E$215),0)</f>
        <v>164</v>
      </c>
      <c r="E107" s="32" t="n">
        <f aca="false">IFERROR(ABS((D107-C107)/C107),"")</f>
        <v>0</v>
      </c>
      <c r="F107" s="18" t="n">
        <f aca="false">ABS(D107-C107)</f>
        <v>0</v>
      </c>
    </row>
    <row r="108" customFormat="false" ht="15" hidden="false" customHeight="true" outlineLevel="0" collapsed="false">
      <c r="A108" s="18" t="s">
        <v>206</v>
      </c>
      <c r="B108" s="31" t="n">
        <f aca="false">Raw_Sales_Weekly!E765</f>
        <v>47</v>
      </c>
      <c r="C108" s="31" t="n">
        <f aca="false">Raw_Sales_Weekly!C765</f>
        <v>104</v>
      </c>
      <c r="D108" s="18" t="n">
        <f aca="false">ROUND(FORECAST(B108,Raw_Sales_Weekly!$C$719:$C$764,Raw_Sales_Weekly!$E$719:$E$764),0)</f>
        <v>98</v>
      </c>
      <c r="E108" s="32" t="n">
        <f aca="false">IFERROR(ABS((D108-C108)/C108),"")</f>
        <v>0.0576923076923077</v>
      </c>
      <c r="F108" s="18" t="n">
        <f aca="false">ABS(D108-C108)</f>
        <v>6</v>
      </c>
    </row>
    <row r="109" customFormat="false" ht="15" hidden="false" customHeight="true" outlineLevel="0" collapsed="false">
      <c r="A109" s="18" t="s">
        <v>206</v>
      </c>
      <c r="B109" s="31" t="n">
        <f aca="false">Raw_Sales_Weekly!E766</f>
        <v>48</v>
      </c>
      <c r="C109" s="31" t="n">
        <f aca="false">Raw_Sales_Weekly!C766</f>
        <v>125</v>
      </c>
      <c r="D109" s="18" t="n">
        <f aca="false">ROUND(FORECAST(B109,Raw_Sales_Weekly!$C$719:$C$764,Raw_Sales_Weekly!$E$719:$E$764),0)</f>
        <v>99</v>
      </c>
      <c r="E109" s="32" t="n">
        <f aca="false">IFERROR(ABS((D109-C109)/C109),"")</f>
        <v>0.208</v>
      </c>
      <c r="F109" s="18" t="n">
        <f aca="false">ABS(D109-C109)</f>
        <v>26</v>
      </c>
    </row>
    <row r="110" customFormat="false" ht="15" hidden="false" customHeight="true" outlineLevel="0" collapsed="false">
      <c r="A110" s="18" t="s">
        <v>206</v>
      </c>
      <c r="B110" s="31" t="n">
        <f aca="false">Raw_Sales_Weekly!E767</f>
        <v>49</v>
      </c>
      <c r="C110" s="31" t="n">
        <f aca="false">Raw_Sales_Weekly!C767</f>
        <v>96</v>
      </c>
      <c r="D110" s="18" t="n">
        <f aca="false">ROUND(FORECAST(B110,Raw_Sales_Weekly!$C$719:$C$764,Raw_Sales_Weekly!$E$719:$E$764),0)</f>
        <v>99</v>
      </c>
      <c r="E110" s="32" t="n">
        <f aca="false">IFERROR(ABS((D110-C110)/C110),"")</f>
        <v>0.03125</v>
      </c>
      <c r="F110" s="18" t="n">
        <f aca="false">ABS(D110-C110)</f>
        <v>3</v>
      </c>
    </row>
    <row r="111" customFormat="false" ht="15" hidden="false" customHeight="true" outlineLevel="0" collapsed="false">
      <c r="A111" s="18" t="s">
        <v>206</v>
      </c>
      <c r="B111" s="31" t="n">
        <f aca="false">Raw_Sales_Weekly!E768</f>
        <v>50</v>
      </c>
      <c r="C111" s="31" t="n">
        <f aca="false">Raw_Sales_Weekly!C768</f>
        <v>84</v>
      </c>
      <c r="D111" s="18" t="n">
        <f aca="false">ROUND(FORECAST(B111,Raw_Sales_Weekly!$C$719:$C$764,Raw_Sales_Weekly!$E$719:$E$764),0)</f>
        <v>99</v>
      </c>
      <c r="E111" s="32" t="n">
        <f aca="false">IFERROR(ABS((D111-C111)/C111),"")</f>
        <v>0.178571428571429</v>
      </c>
      <c r="F111" s="18" t="n">
        <f aca="false">ABS(D111-C111)</f>
        <v>15</v>
      </c>
    </row>
    <row r="112" customFormat="false" ht="15" hidden="false" customHeight="true" outlineLevel="0" collapsed="false">
      <c r="A112" s="18" t="s">
        <v>206</v>
      </c>
      <c r="B112" s="31" t="n">
        <f aca="false">Raw_Sales_Weekly!E769</f>
        <v>51</v>
      </c>
      <c r="C112" s="31" t="n">
        <f aca="false">Raw_Sales_Weekly!C769</f>
        <v>81</v>
      </c>
      <c r="D112" s="18" t="n">
        <f aca="false">ROUND(FORECAST(B112,Raw_Sales_Weekly!$C$719:$C$764,Raw_Sales_Weekly!$E$719:$E$764),0)</f>
        <v>99</v>
      </c>
      <c r="E112" s="32" t="n">
        <f aca="false">IFERROR(ABS((D112-C112)/C112),"")</f>
        <v>0.222222222222222</v>
      </c>
      <c r="F112" s="18" t="n">
        <f aca="false">ABS(D112-C112)</f>
        <v>18</v>
      </c>
    </row>
    <row r="113" customFormat="false" ht="15" hidden="false" customHeight="true" outlineLevel="0" collapsed="false">
      <c r="A113" s="18" t="s">
        <v>206</v>
      </c>
      <c r="B113" s="31" t="n">
        <f aca="false">Raw_Sales_Weekly!E770</f>
        <v>52</v>
      </c>
      <c r="C113" s="31" t="n">
        <f aca="false">Raw_Sales_Weekly!C770</f>
        <v>117</v>
      </c>
      <c r="D113" s="18" t="n">
        <f aca="false">ROUND(FORECAST(B113,Raw_Sales_Weekly!$C$719:$C$764,Raw_Sales_Weekly!$E$719:$E$764),0)</f>
        <v>99</v>
      </c>
      <c r="E113" s="32" t="n">
        <f aca="false">IFERROR(ABS((D113-C113)/C113),"")</f>
        <v>0.153846153846154</v>
      </c>
      <c r="F113" s="18" t="n">
        <f aca="false">ABS(D113-C113)</f>
        <v>18</v>
      </c>
    </row>
    <row r="114" customFormat="false" ht="15" hidden="false" customHeight="true" outlineLevel="0" collapsed="false">
      <c r="A114" s="18" t="s">
        <v>160</v>
      </c>
      <c r="B114" s="31" t="n">
        <f aca="false">Raw_Sales_Weekly!E100</f>
        <v>47</v>
      </c>
      <c r="C114" s="31" t="n">
        <f aca="false">Raw_Sales_Weekly!C100</f>
        <v>126</v>
      </c>
      <c r="D114" s="18" t="n">
        <f aca="false">ROUND(FORECAST(B114,Raw_Sales_Weekly!$C$54:$C$99,Raw_Sales_Weekly!$E$54:$E$99),0)</f>
        <v>164</v>
      </c>
      <c r="E114" s="32" t="n">
        <f aca="false">IFERROR(ABS((D114-C114)/C114),"")</f>
        <v>0.301587301587302</v>
      </c>
      <c r="F114" s="18" t="n">
        <f aca="false">ABS(D114-C114)</f>
        <v>38</v>
      </c>
    </row>
    <row r="115" customFormat="false" ht="15" hidden="false" customHeight="true" outlineLevel="0" collapsed="false">
      <c r="A115" s="18" t="s">
        <v>160</v>
      </c>
      <c r="B115" s="31" t="n">
        <f aca="false">Raw_Sales_Weekly!E101</f>
        <v>48</v>
      </c>
      <c r="C115" s="31" t="n">
        <f aca="false">Raw_Sales_Weekly!C101</f>
        <v>143</v>
      </c>
      <c r="D115" s="18" t="n">
        <f aca="false">ROUND(FORECAST(B115,Raw_Sales_Weekly!$C$54:$C$99,Raw_Sales_Weekly!$E$54:$E$99),0)</f>
        <v>165</v>
      </c>
      <c r="E115" s="32" t="n">
        <f aca="false">IFERROR(ABS((D115-C115)/C115),"")</f>
        <v>0.153846153846154</v>
      </c>
      <c r="F115" s="18" t="n">
        <f aca="false">ABS(D115-C115)</f>
        <v>22</v>
      </c>
    </row>
    <row r="116" customFormat="false" ht="15" hidden="false" customHeight="true" outlineLevel="0" collapsed="false">
      <c r="A116" s="18" t="s">
        <v>160</v>
      </c>
      <c r="B116" s="31" t="n">
        <f aca="false">Raw_Sales_Weekly!E102</f>
        <v>49</v>
      </c>
      <c r="C116" s="31" t="n">
        <f aca="false">Raw_Sales_Weekly!C102</f>
        <v>155</v>
      </c>
      <c r="D116" s="18" t="n">
        <f aca="false">ROUND(FORECAST(B116,Raw_Sales_Weekly!$C$54:$C$99,Raw_Sales_Weekly!$E$54:$E$99),0)</f>
        <v>165</v>
      </c>
      <c r="E116" s="32" t="n">
        <f aca="false">IFERROR(ABS((D116-C116)/C116),"")</f>
        <v>0.0645161290322581</v>
      </c>
      <c r="F116" s="18" t="n">
        <f aca="false">ABS(D116-C116)</f>
        <v>10</v>
      </c>
    </row>
    <row r="117" customFormat="false" ht="15" hidden="false" customHeight="true" outlineLevel="0" collapsed="false">
      <c r="A117" s="18" t="s">
        <v>160</v>
      </c>
      <c r="B117" s="31" t="n">
        <f aca="false">Raw_Sales_Weekly!E103</f>
        <v>50</v>
      </c>
      <c r="C117" s="31" t="n">
        <f aca="false">Raw_Sales_Weekly!C103</f>
        <v>143</v>
      </c>
      <c r="D117" s="18" t="n">
        <f aca="false">ROUND(FORECAST(B117,Raw_Sales_Weekly!$C$54:$C$99,Raw_Sales_Weekly!$E$54:$E$99),0)</f>
        <v>165</v>
      </c>
      <c r="E117" s="32" t="n">
        <f aca="false">IFERROR(ABS((D117-C117)/C117),"")</f>
        <v>0.153846153846154</v>
      </c>
      <c r="F117" s="18" t="n">
        <f aca="false">ABS(D117-C117)</f>
        <v>22</v>
      </c>
    </row>
    <row r="118" customFormat="false" ht="15" hidden="false" customHeight="true" outlineLevel="0" collapsed="false">
      <c r="A118" s="18" t="s">
        <v>160</v>
      </c>
      <c r="B118" s="31" t="n">
        <f aca="false">Raw_Sales_Weekly!E104</f>
        <v>51</v>
      </c>
      <c r="C118" s="31" t="n">
        <f aca="false">Raw_Sales_Weekly!C104</f>
        <v>155</v>
      </c>
      <c r="D118" s="18" t="n">
        <f aca="false">ROUND(FORECAST(B118,Raw_Sales_Weekly!$C$54:$C$99,Raw_Sales_Weekly!$E$54:$E$99),0)</f>
        <v>165</v>
      </c>
      <c r="E118" s="32" t="n">
        <f aca="false">IFERROR(ABS((D118-C118)/C118),"")</f>
        <v>0.0645161290322581</v>
      </c>
      <c r="F118" s="18" t="n">
        <f aca="false">ABS(D118-C118)</f>
        <v>10</v>
      </c>
    </row>
    <row r="119" customFormat="false" ht="15" hidden="false" customHeight="true" outlineLevel="0" collapsed="false">
      <c r="A119" s="18" t="s">
        <v>160</v>
      </c>
      <c r="B119" s="31" t="n">
        <f aca="false">Raw_Sales_Weekly!E105</f>
        <v>52</v>
      </c>
      <c r="C119" s="31" t="n">
        <f aca="false">Raw_Sales_Weekly!C105</f>
        <v>161</v>
      </c>
      <c r="D119" s="18" t="n">
        <f aca="false">ROUND(FORECAST(B119,Raw_Sales_Weekly!$C$54:$C$99,Raw_Sales_Weekly!$E$54:$E$99),0)</f>
        <v>165</v>
      </c>
      <c r="E119" s="32" t="n">
        <f aca="false">IFERROR(ABS((D119-C119)/C119),"")</f>
        <v>0.0248447204968944</v>
      </c>
      <c r="F119" s="18" t="n">
        <f aca="false">ABS(D119-C119)</f>
        <v>4</v>
      </c>
    </row>
    <row r="120" customFormat="false" ht="15" hidden="false" customHeight="true" outlineLevel="0" collapsed="false">
      <c r="A120" s="18" t="s">
        <v>208</v>
      </c>
      <c r="B120" s="31" t="n">
        <f aca="false">Raw_Sales_Weekly!E782</f>
        <v>12</v>
      </c>
      <c r="C120" s="31" t="n">
        <f aca="false">Raw_Sales_Weekly!C782</f>
        <v>156</v>
      </c>
      <c r="D120" s="18" t="n">
        <f aca="false">ROUND(FORECAST(B120,Raw_Sales_Weekly!$C$771:$C$781,Raw_Sales_Weekly!$E$771:$E$781),0)</f>
        <v>84</v>
      </c>
      <c r="E120" s="32" t="n">
        <f aca="false">IFERROR(ABS((D120-C120)/C120),"")</f>
        <v>0.461538461538462</v>
      </c>
      <c r="F120" s="18" t="n">
        <f aca="false">ABS(D120-C120)</f>
        <v>72</v>
      </c>
    </row>
    <row r="121" customFormat="false" ht="15" hidden="false" customHeight="true" outlineLevel="0" collapsed="false">
      <c r="A121" s="18" t="s">
        <v>208</v>
      </c>
      <c r="B121" s="31" t="n">
        <f aca="false">Raw_Sales_Weekly!E783</f>
        <v>13</v>
      </c>
      <c r="C121" s="31" t="n">
        <f aca="false">Raw_Sales_Weekly!C783</f>
        <v>153</v>
      </c>
      <c r="D121" s="18" t="n">
        <f aca="false">ROUND(FORECAST(B121,Raw_Sales_Weekly!$C$771:$C$781,Raw_Sales_Weekly!$E$771:$E$781),0)</f>
        <v>68</v>
      </c>
      <c r="E121" s="32" t="n">
        <f aca="false">IFERROR(ABS((D121-C121)/C121),"")</f>
        <v>0.555555555555556</v>
      </c>
      <c r="F121" s="18" t="n">
        <f aca="false">ABS(D121-C121)</f>
        <v>85</v>
      </c>
    </row>
    <row r="122" customFormat="false" ht="15" hidden="false" customHeight="true" outlineLevel="0" collapsed="false">
      <c r="A122" s="18" t="s">
        <v>208</v>
      </c>
      <c r="B122" s="31" t="n">
        <f aca="false">Raw_Sales_Weekly!E784</f>
        <v>14</v>
      </c>
      <c r="C122" s="31" t="n">
        <f aca="false">Raw_Sales_Weekly!C784</f>
        <v>222</v>
      </c>
      <c r="D122" s="18" t="n">
        <f aca="false">ROUND(FORECAST(B122,Raw_Sales_Weekly!$C$771:$C$781,Raw_Sales_Weekly!$E$771:$E$781),0)</f>
        <v>51</v>
      </c>
      <c r="E122" s="32" t="n">
        <f aca="false">IFERROR(ABS((D122-C122)/C122),"")</f>
        <v>0.77027027027027</v>
      </c>
      <c r="F122" s="18" t="n">
        <f aca="false">ABS(D122-C122)</f>
        <v>171</v>
      </c>
    </row>
    <row r="123" customFormat="false" ht="15" hidden="false" customHeight="true" outlineLevel="0" collapsed="false">
      <c r="A123" s="18" t="s">
        <v>208</v>
      </c>
      <c r="B123" s="31" t="n">
        <f aca="false">Raw_Sales_Weekly!E785</f>
        <v>15</v>
      </c>
      <c r="C123" s="31" t="n">
        <f aca="false">Raw_Sales_Weekly!C785</f>
        <v>230</v>
      </c>
      <c r="D123" s="18" t="n">
        <f aca="false">ROUND(FORECAST(B123,Raw_Sales_Weekly!$C$771:$C$781,Raw_Sales_Weekly!$E$771:$E$781),0)</f>
        <v>35</v>
      </c>
      <c r="E123" s="32" t="n">
        <f aca="false">IFERROR(ABS((D123-C123)/C123),"")</f>
        <v>0.847826086956522</v>
      </c>
      <c r="F123" s="18" t="n">
        <f aca="false">ABS(D123-C123)</f>
        <v>195</v>
      </c>
    </row>
    <row r="124" customFormat="false" ht="15" hidden="false" customHeight="true" outlineLevel="0" collapsed="false">
      <c r="A124" s="18" t="s">
        <v>208</v>
      </c>
      <c r="B124" s="31" t="n">
        <f aca="false">Raw_Sales_Weekly!E786</f>
        <v>16</v>
      </c>
      <c r="C124" s="31" t="n">
        <f aca="false">Raw_Sales_Weekly!C786</f>
        <v>203</v>
      </c>
      <c r="D124" s="18" t="n">
        <f aca="false">ROUND(FORECAST(B124,Raw_Sales_Weekly!$C$771:$C$781,Raw_Sales_Weekly!$E$771:$E$781),0)</f>
        <v>19</v>
      </c>
      <c r="E124" s="32" t="n">
        <f aca="false">IFERROR(ABS((D124-C124)/C124),"")</f>
        <v>0.9064039408867</v>
      </c>
      <c r="F124" s="18" t="n">
        <f aca="false">ABS(D124-C124)</f>
        <v>184</v>
      </c>
    </row>
    <row r="125" customFormat="false" ht="15" hidden="false" customHeight="true" outlineLevel="0" collapsed="false">
      <c r="A125" s="18" t="s">
        <v>208</v>
      </c>
      <c r="B125" s="31" t="n">
        <f aca="false">Raw_Sales_Weekly!E787</f>
        <v>17</v>
      </c>
      <c r="C125" s="31" t="n">
        <f aca="false">Raw_Sales_Weekly!C787</f>
        <v>180</v>
      </c>
      <c r="D125" s="18" t="n">
        <f aca="false">ROUND(FORECAST(B125,Raw_Sales_Weekly!$C$771:$C$781,Raw_Sales_Weekly!$E$771:$E$781),0)</f>
        <v>3</v>
      </c>
      <c r="E125" s="32" t="n">
        <f aca="false">IFERROR(ABS((D125-C125)/C125),"")</f>
        <v>0.983333333333333</v>
      </c>
      <c r="F125" s="18" t="n">
        <f aca="false">ABS(D125-C125)</f>
        <v>177</v>
      </c>
    </row>
    <row r="126" customFormat="false" ht="15" hidden="false" customHeight="true" outlineLevel="0" collapsed="false">
      <c r="A126" s="18" t="s">
        <v>154</v>
      </c>
      <c r="B126" s="31" t="n">
        <f aca="false">Raw_Sales_Weekly!E48</f>
        <v>47</v>
      </c>
      <c r="C126" s="31" t="n">
        <f aca="false">Raw_Sales_Weekly!C48</f>
        <v>77</v>
      </c>
      <c r="D126" s="18" t="n">
        <f aca="false">ROUND(FORECAST(B126,Raw_Sales_Weekly!$C$2:$C$47,Raw_Sales_Weekly!$E$2:$E$47),0)</f>
        <v>121</v>
      </c>
      <c r="E126" s="32" t="n">
        <f aca="false">IFERROR(ABS((D126-C126)/C126),"")</f>
        <v>0.571428571428571</v>
      </c>
      <c r="F126" s="18" t="n">
        <f aca="false">ABS(D126-C126)</f>
        <v>44</v>
      </c>
    </row>
    <row r="127" customFormat="false" ht="15" hidden="false" customHeight="true" outlineLevel="0" collapsed="false">
      <c r="A127" s="18" t="s">
        <v>154</v>
      </c>
      <c r="B127" s="31" t="n">
        <f aca="false">Raw_Sales_Weekly!E49</f>
        <v>48</v>
      </c>
      <c r="C127" s="31" t="n">
        <f aca="false">Raw_Sales_Weekly!C49</f>
        <v>129</v>
      </c>
      <c r="D127" s="18" t="n">
        <f aca="false">ROUND(FORECAST(B127,Raw_Sales_Weekly!$C$2:$C$47,Raw_Sales_Weekly!$E$2:$E$47),0)</f>
        <v>120</v>
      </c>
      <c r="E127" s="32" t="n">
        <f aca="false">IFERROR(ABS((D127-C127)/C127),"")</f>
        <v>0.0697674418604651</v>
      </c>
      <c r="F127" s="18" t="n">
        <f aca="false">ABS(D127-C127)</f>
        <v>9</v>
      </c>
    </row>
    <row r="128" customFormat="false" ht="15" hidden="false" customHeight="true" outlineLevel="0" collapsed="false">
      <c r="A128" s="18" t="s">
        <v>154</v>
      </c>
      <c r="B128" s="31" t="n">
        <f aca="false">Raw_Sales_Weekly!E50</f>
        <v>49</v>
      </c>
      <c r="C128" s="31" t="n">
        <f aca="false">Raw_Sales_Weekly!C50</f>
        <v>146</v>
      </c>
      <c r="D128" s="18" t="n">
        <f aca="false">ROUND(FORECAST(B128,Raw_Sales_Weekly!$C$2:$C$47,Raw_Sales_Weekly!$E$2:$E$47),0)</f>
        <v>119</v>
      </c>
      <c r="E128" s="32" t="n">
        <f aca="false">IFERROR(ABS((D128-C128)/C128),"")</f>
        <v>0.184931506849315</v>
      </c>
      <c r="F128" s="18" t="n">
        <f aca="false">ABS(D128-C128)</f>
        <v>27</v>
      </c>
    </row>
    <row r="129" customFormat="false" ht="15" hidden="false" customHeight="true" outlineLevel="0" collapsed="false">
      <c r="A129" s="18" t="s">
        <v>154</v>
      </c>
      <c r="B129" s="31" t="n">
        <f aca="false">Raw_Sales_Weekly!E51</f>
        <v>50</v>
      </c>
      <c r="C129" s="31" t="n">
        <f aca="false">Raw_Sales_Weekly!C51</f>
        <v>133</v>
      </c>
      <c r="D129" s="18" t="n">
        <f aca="false">ROUND(FORECAST(B129,Raw_Sales_Weekly!$C$2:$C$47,Raw_Sales_Weekly!$E$2:$E$47),0)</f>
        <v>119</v>
      </c>
      <c r="E129" s="32" t="n">
        <f aca="false">IFERROR(ABS((D129-C129)/C129),"")</f>
        <v>0.105263157894737</v>
      </c>
      <c r="F129" s="18" t="n">
        <f aca="false">ABS(D129-C129)</f>
        <v>14</v>
      </c>
    </row>
    <row r="130" customFormat="false" ht="15" hidden="false" customHeight="true" outlineLevel="0" collapsed="false">
      <c r="A130" s="18" t="s">
        <v>154</v>
      </c>
      <c r="B130" s="31" t="n">
        <f aca="false">Raw_Sales_Weekly!E52</f>
        <v>51</v>
      </c>
      <c r="C130" s="31" t="n">
        <f aca="false">Raw_Sales_Weekly!C52</f>
        <v>185</v>
      </c>
      <c r="D130" s="18" t="n">
        <f aca="false">ROUND(FORECAST(B130,Raw_Sales_Weekly!$C$2:$C$47,Raw_Sales_Weekly!$E$2:$E$47),0)</f>
        <v>118</v>
      </c>
      <c r="E130" s="32" t="n">
        <f aca="false">IFERROR(ABS((D130-C130)/C130),"")</f>
        <v>0.362162162162162</v>
      </c>
      <c r="F130" s="18" t="n">
        <f aca="false">ABS(D130-C130)</f>
        <v>67</v>
      </c>
    </row>
    <row r="131" customFormat="false" ht="15" hidden="false" customHeight="true" outlineLevel="0" collapsed="false">
      <c r="A131" s="18" t="s">
        <v>154</v>
      </c>
      <c r="B131" s="31" t="n">
        <f aca="false">Raw_Sales_Weekly!E53</f>
        <v>52</v>
      </c>
      <c r="C131" s="31" t="n">
        <f aca="false">Raw_Sales_Weekly!C53</f>
        <v>45</v>
      </c>
      <c r="D131" s="18" t="n">
        <f aca="false">ROUND(FORECAST(B131,Raw_Sales_Weekly!$C$2:$C$47,Raw_Sales_Weekly!$E$2:$E$47),0)</f>
        <v>117</v>
      </c>
      <c r="E131" s="32" t="n">
        <f aca="false">IFERROR(ABS((D131-C131)/C131),"")</f>
        <v>1.6</v>
      </c>
      <c r="F131" s="18" t="n">
        <f aca="false">ABS(D131-C131)</f>
        <v>72</v>
      </c>
    </row>
    <row r="132" customFormat="false" ht="15" hidden="false" customHeight="true" outlineLevel="0" collapsed="false">
      <c r="A132" s="18" t="s">
        <v>239</v>
      </c>
      <c r="B132" s="31" t="n">
        <f aca="false">Raw_Sales_Weekly!E1371</f>
        <v>47</v>
      </c>
      <c r="C132" s="31" t="n">
        <f aca="false">Raw_Sales_Weekly!C1371</f>
        <v>55</v>
      </c>
      <c r="D132" s="18" t="n">
        <f aca="false">ROUND(FORECAST(B132,Raw_Sales_Weekly!$C$1325:$C$1370,Raw_Sales_Weekly!$E$1325:$E$1370),0)</f>
        <v>79</v>
      </c>
      <c r="E132" s="32" t="n">
        <f aca="false">IFERROR(ABS((D132-C132)/C132),"")</f>
        <v>0.436363636363636</v>
      </c>
      <c r="F132" s="18" t="n">
        <f aca="false">ABS(D132-C132)</f>
        <v>24</v>
      </c>
    </row>
    <row r="133" customFormat="false" ht="15" hidden="false" customHeight="true" outlineLevel="0" collapsed="false">
      <c r="A133" s="18" t="s">
        <v>239</v>
      </c>
      <c r="B133" s="31" t="n">
        <f aca="false">Raw_Sales_Weekly!E1372</f>
        <v>48</v>
      </c>
      <c r="C133" s="31" t="n">
        <f aca="false">Raw_Sales_Weekly!C1372</f>
        <v>45</v>
      </c>
      <c r="D133" s="18" t="n">
        <f aca="false">ROUND(FORECAST(B133,Raw_Sales_Weekly!$C$1325:$C$1370,Raw_Sales_Weekly!$E$1325:$E$1370),0)</f>
        <v>79</v>
      </c>
      <c r="E133" s="32" t="n">
        <f aca="false">IFERROR(ABS((D133-C133)/C133),"")</f>
        <v>0.755555555555556</v>
      </c>
      <c r="F133" s="18" t="n">
        <f aca="false">ABS(D133-C133)</f>
        <v>34</v>
      </c>
    </row>
    <row r="134" customFormat="false" ht="15" hidden="false" customHeight="true" outlineLevel="0" collapsed="false">
      <c r="A134" s="18" t="s">
        <v>239</v>
      </c>
      <c r="B134" s="31" t="n">
        <f aca="false">Raw_Sales_Weekly!E1373</f>
        <v>49</v>
      </c>
      <c r="C134" s="31" t="n">
        <f aca="false">Raw_Sales_Weekly!C1373</f>
        <v>92</v>
      </c>
      <c r="D134" s="18" t="n">
        <f aca="false">ROUND(FORECAST(B134,Raw_Sales_Weekly!$C$1325:$C$1370,Raw_Sales_Weekly!$E$1325:$E$1370),0)</f>
        <v>79</v>
      </c>
      <c r="E134" s="32" t="n">
        <f aca="false">IFERROR(ABS((D134-C134)/C134),"")</f>
        <v>0.141304347826087</v>
      </c>
      <c r="F134" s="18" t="n">
        <f aca="false">ABS(D134-C134)</f>
        <v>13</v>
      </c>
    </row>
    <row r="135" customFormat="false" ht="15" hidden="false" customHeight="true" outlineLevel="0" collapsed="false">
      <c r="A135" s="18" t="s">
        <v>239</v>
      </c>
      <c r="B135" s="31" t="n">
        <f aca="false">Raw_Sales_Weekly!E1374</f>
        <v>50</v>
      </c>
      <c r="C135" s="31" t="n">
        <f aca="false">Raw_Sales_Weekly!C1374</f>
        <v>114</v>
      </c>
      <c r="D135" s="18" t="n">
        <f aca="false">ROUND(FORECAST(B135,Raw_Sales_Weekly!$C$1325:$C$1370,Raw_Sales_Weekly!$E$1325:$E$1370),0)</f>
        <v>79</v>
      </c>
      <c r="E135" s="32" t="n">
        <f aca="false">IFERROR(ABS((D135-C135)/C135),"")</f>
        <v>0.307017543859649</v>
      </c>
      <c r="F135" s="18" t="n">
        <f aca="false">ABS(D135-C135)</f>
        <v>35</v>
      </c>
    </row>
    <row r="136" customFormat="false" ht="15" hidden="false" customHeight="true" outlineLevel="0" collapsed="false">
      <c r="A136" s="18" t="s">
        <v>239</v>
      </c>
      <c r="B136" s="31" t="n">
        <f aca="false">Raw_Sales_Weekly!E1375</f>
        <v>51</v>
      </c>
      <c r="C136" s="31" t="n">
        <f aca="false">Raw_Sales_Weekly!C1375</f>
        <v>141</v>
      </c>
      <c r="D136" s="18" t="n">
        <f aca="false">ROUND(FORECAST(B136,Raw_Sales_Weekly!$C$1325:$C$1370,Raw_Sales_Weekly!$E$1325:$E$1370),0)</f>
        <v>80</v>
      </c>
      <c r="E136" s="32" t="n">
        <f aca="false">IFERROR(ABS((D136-C136)/C136),"")</f>
        <v>0.432624113475177</v>
      </c>
      <c r="F136" s="18" t="n">
        <f aca="false">ABS(D136-C136)</f>
        <v>61</v>
      </c>
    </row>
    <row r="137" customFormat="false" ht="15" hidden="false" customHeight="true" outlineLevel="0" collapsed="false">
      <c r="A137" s="18" t="s">
        <v>239</v>
      </c>
      <c r="B137" s="31" t="n">
        <f aca="false">Raw_Sales_Weekly!E1376</f>
        <v>52</v>
      </c>
      <c r="C137" s="31" t="n">
        <f aca="false">Raw_Sales_Weekly!C1376</f>
        <v>83</v>
      </c>
      <c r="D137" s="18" t="n">
        <f aca="false">ROUND(FORECAST(B137,Raw_Sales_Weekly!$C$1325:$C$1370,Raw_Sales_Weekly!$E$1325:$E$1370),0)</f>
        <v>80</v>
      </c>
      <c r="E137" s="32" t="n">
        <f aca="false">IFERROR(ABS((D137-C137)/C137),"")</f>
        <v>0.036144578313253</v>
      </c>
      <c r="F137" s="18" t="n">
        <f aca="false">ABS(D137-C137)</f>
        <v>3</v>
      </c>
    </row>
    <row r="138" customFormat="false" ht="15" hidden="false" customHeight="true" outlineLevel="0" collapsed="false">
      <c r="A138" s="18" t="s">
        <v>183</v>
      </c>
      <c r="B138" s="31" t="n">
        <f aca="false">Raw_Sales_Weekly!E382</f>
        <v>47</v>
      </c>
      <c r="C138" s="31" t="n">
        <f aca="false">Raw_Sales_Weekly!C382</f>
        <v>71</v>
      </c>
      <c r="D138" s="18" t="n">
        <f aca="false">ROUND(FORECAST(B138,Raw_Sales_Weekly!$C$336:$C$381,Raw_Sales_Weekly!$E$336:$E$381),0)</f>
        <v>73</v>
      </c>
      <c r="E138" s="32" t="n">
        <f aca="false">IFERROR(ABS((D138-C138)/C138),"")</f>
        <v>0.028169014084507</v>
      </c>
      <c r="F138" s="18" t="n">
        <f aca="false">ABS(D138-C138)</f>
        <v>2</v>
      </c>
    </row>
    <row r="139" customFormat="false" ht="15" hidden="false" customHeight="true" outlineLevel="0" collapsed="false">
      <c r="A139" s="18" t="s">
        <v>183</v>
      </c>
      <c r="B139" s="31" t="n">
        <f aca="false">Raw_Sales_Weekly!E383</f>
        <v>48</v>
      </c>
      <c r="C139" s="31" t="n">
        <f aca="false">Raw_Sales_Weekly!C383</f>
        <v>66</v>
      </c>
      <c r="D139" s="18" t="n">
        <f aca="false">ROUND(FORECAST(B139,Raw_Sales_Weekly!$C$336:$C$381,Raw_Sales_Weekly!$E$336:$E$381),0)</f>
        <v>72</v>
      </c>
      <c r="E139" s="32" t="n">
        <f aca="false">IFERROR(ABS((D139-C139)/C139),"")</f>
        <v>0.0909090909090909</v>
      </c>
      <c r="F139" s="18" t="n">
        <f aca="false">ABS(D139-C139)</f>
        <v>6</v>
      </c>
    </row>
    <row r="140" customFormat="false" ht="15" hidden="false" customHeight="true" outlineLevel="0" collapsed="false">
      <c r="A140" s="18" t="s">
        <v>183</v>
      </c>
      <c r="B140" s="31" t="n">
        <f aca="false">Raw_Sales_Weekly!E384</f>
        <v>49</v>
      </c>
      <c r="C140" s="31" t="n">
        <f aca="false">Raw_Sales_Weekly!C384</f>
        <v>62</v>
      </c>
      <c r="D140" s="18" t="n">
        <f aca="false">ROUND(FORECAST(B140,Raw_Sales_Weekly!$C$336:$C$381,Raw_Sales_Weekly!$E$336:$E$381),0)</f>
        <v>71</v>
      </c>
      <c r="E140" s="32" t="n">
        <f aca="false">IFERROR(ABS((D140-C140)/C140),"")</f>
        <v>0.145161290322581</v>
      </c>
      <c r="F140" s="18" t="n">
        <f aca="false">ABS(D140-C140)</f>
        <v>9</v>
      </c>
    </row>
    <row r="141" customFormat="false" ht="15" hidden="false" customHeight="true" outlineLevel="0" collapsed="false">
      <c r="A141" s="18" t="s">
        <v>183</v>
      </c>
      <c r="B141" s="31" t="n">
        <f aca="false">Raw_Sales_Weekly!E385</f>
        <v>50</v>
      </c>
      <c r="C141" s="31" t="n">
        <f aca="false">Raw_Sales_Weekly!C385</f>
        <v>60</v>
      </c>
      <c r="D141" s="18" t="n">
        <f aca="false">ROUND(FORECAST(B141,Raw_Sales_Weekly!$C$336:$C$381,Raw_Sales_Weekly!$E$336:$E$381),0)</f>
        <v>70</v>
      </c>
      <c r="E141" s="32" t="n">
        <f aca="false">IFERROR(ABS((D141-C141)/C141),"")</f>
        <v>0.166666666666667</v>
      </c>
      <c r="F141" s="18" t="n">
        <f aca="false">ABS(D141-C141)</f>
        <v>10</v>
      </c>
    </row>
    <row r="142" customFormat="false" ht="15" hidden="false" customHeight="true" outlineLevel="0" collapsed="false">
      <c r="A142" s="18" t="s">
        <v>183</v>
      </c>
      <c r="B142" s="31" t="n">
        <f aca="false">Raw_Sales_Weekly!E386</f>
        <v>51</v>
      </c>
      <c r="C142" s="31" t="n">
        <f aca="false">Raw_Sales_Weekly!C386</f>
        <v>54</v>
      </c>
      <c r="D142" s="18" t="n">
        <f aca="false">ROUND(FORECAST(B142,Raw_Sales_Weekly!$C$336:$C$381,Raw_Sales_Weekly!$E$336:$E$381),0)</f>
        <v>69</v>
      </c>
      <c r="E142" s="32" t="n">
        <f aca="false">IFERROR(ABS((D142-C142)/C142),"")</f>
        <v>0.277777777777778</v>
      </c>
      <c r="F142" s="18" t="n">
        <f aca="false">ABS(D142-C142)</f>
        <v>15</v>
      </c>
    </row>
    <row r="143" customFormat="false" ht="15" hidden="false" customHeight="true" outlineLevel="0" collapsed="false">
      <c r="A143" s="18" t="s">
        <v>183</v>
      </c>
      <c r="B143" s="31" t="n">
        <f aca="false">Raw_Sales_Weekly!E387</f>
        <v>52</v>
      </c>
      <c r="C143" s="31" t="n">
        <f aca="false">Raw_Sales_Weekly!C387</f>
        <v>120</v>
      </c>
      <c r="D143" s="18" t="n">
        <f aca="false">ROUND(FORECAST(B143,Raw_Sales_Weekly!$C$336:$C$381,Raw_Sales_Weekly!$E$336:$E$381),0)</f>
        <v>68</v>
      </c>
      <c r="E143" s="32" t="n">
        <f aca="false">IFERROR(ABS((D143-C143)/C143),"")</f>
        <v>0.433333333333333</v>
      </c>
      <c r="F143" s="18" t="n">
        <f aca="false">ABS(D143-C143)</f>
        <v>52</v>
      </c>
    </row>
    <row r="144" customFormat="false" ht="15" hidden="false" customHeight="true" outlineLevel="0" collapsed="false">
      <c r="A144" s="18" t="s">
        <v>164</v>
      </c>
      <c r="B144" s="31" t="n">
        <f aca="false">Raw_Sales_Weekly!E152</f>
        <v>47</v>
      </c>
      <c r="C144" s="31" t="n">
        <f aca="false">Raw_Sales_Weekly!C152</f>
        <v>180</v>
      </c>
      <c r="D144" s="18" t="n">
        <f aca="false">ROUND(FORECAST(B144,Raw_Sales_Weekly!$C$106:$C$151,Raw_Sales_Weekly!$E$106:$E$151),0)</f>
        <v>137</v>
      </c>
      <c r="E144" s="32" t="n">
        <f aca="false">IFERROR(ABS((D144-C144)/C144),"")</f>
        <v>0.238888888888889</v>
      </c>
      <c r="F144" s="18" t="n">
        <f aca="false">ABS(D144-C144)</f>
        <v>43</v>
      </c>
    </row>
    <row r="145" customFormat="false" ht="15" hidden="false" customHeight="true" outlineLevel="0" collapsed="false">
      <c r="A145" s="18" t="s">
        <v>164</v>
      </c>
      <c r="B145" s="31" t="n">
        <f aca="false">Raw_Sales_Weekly!E153</f>
        <v>48</v>
      </c>
      <c r="C145" s="31" t="n">
        <f aca="false">Raw_Sales_Weekly!C153</f>
        <v>120</v>
      </c>
      <c r="D145" s="18" t="n">
        <f aca="false">ROUND(FORECAST(B145,Raw_Sales_Weekly!$C$106:$C$151,Raw_Sales_Weekly!$E$106:$E$151),0)</f>
        <v>137</v>
      </c>
      <c r="E145" s="32" t="n">
        <f aca="false">IFERROR(ABS((D145-C145)/C145),"")</f>
        <v>0.141666666666667</v>
      </c>
      <c r="F145" s="18" t="n">
        <f aca="false">ABS(D145-C145)</f>
        <v>17</v>
      </c>
    </row>
    <row r="146" customFormat="false" ht="15" hidden="false" customHeight="true" outlineLevel="0" collapsed="false">
      <c r="A146" s="18" t="s">
        <v>164</v>
      </c>
      <c r="B146" s="31" t="n">
        <f aca="false">Raw_Sales_Weekly!E154</f>
        <v>49</v>
      </c>
      <c r="C146" s="31" t="n">
        <f aca="false">Raw_Sales_Weekly!C154</f>
        <v>37</v>
      </c>
      <c r="D146" s="18" t="n">
        <f aca="false">ROUND(FORECAST(B146,Raw_Sales_Weekly!$C$106:$C$151,Raw_Sales_Weekly!$E$106:$E$151),0)</f>
        <v>138</v>
      </c>
      <c r="E146" s="32" t="n">
        <f aca="false">IFERROR(ABS((D146-C146)/C146),"")</f>
        <v>2.72972972972973</v>
      </c>
      <c r="F146" s="18" t="n">
        <f aca="false">ABS(D146-C146)</f>
        <v>101</v>
      </c>
    </row>
    <row r="147" customFormat="false" ht="15" hidden="false" customHeight="true" outlineLevel="0" collapsed="false">
      <c r="A147" s="18" t="s">
        <v>164</v>
      </c>
      <c r="B147" s="31" t="n">
        <f aca="false">Raw_Sales_Weekly!E155</f>
        <v>50</v>
      </c>
      <c r="C147" s="31" t="n">
        <f aca="false">Raw_Sales_Weekly!C155</f>
        <v>124</v>
      </c>
      <c r="D147" s="18" t="n">
        <f aca="false">ROUND(FORECAST(B147,Raw_Sales_Weekly!$C$106:$C$151,Raw_Sales_Weekly!$E$106:$E$151),0)</f>
        <v>138</v>
      </c>
      <c r="E147" s="32" t="n">
        <f aca="false">IFERROR(ABS((D147-C147)/C147),"")</f>
        <v>0.112903225806452</v>
      </c>
      <c r="F147" s="18" t="n">
        <f aca="false">ABS(D147-C147)</f>
        <v>14</v>
      </c>
    </row>
    <row r="148" customFormat="false" ht="15" hidden="false" customHeight="true" outlineLevel="0" collapsed="false">
      <c r="A148" s="18" t="s">
        <v>164</v>
      </c>
      <c r="B148" s="31" t="n">
        <f aca="false">Raw_Sales_Weekly!E156</f>
        <v>51</v>
      </c>
      <c r="C148" s="31" t="n">
        <f aca="false">Raw_Sales_Weekly!C156</f>
        <v>169</v>
      </c>
      <c r="D148" s="18" t="n">
        <f aca="false">ROUND(FORECAST(B148,Raw_Sales_Weekly!$C$106:$C$151,Raw_Sales_Weekly!$E$106:$E$151),0)</f>
        <v>139</v>
      </c>
      <c r="E148" s="32" t="n">
        <f aca="false">IFERROR(ABS((D148-C148)/C148),"")</f>
        <v>0.177514792899408</v>
      </c>
      <c r="F148" s="18" t="n">
        <f aca="false">ABS(D148-C148)</f>
        <v>30</v>
      </c>
    </row>
    <row r="149" customFormat="false" ht="15" hidden="false" customHeight="true" outlineLevel="0" collapsed="false">
      <c r="A149" s="18" t="s">
        <v>164</v>
      </c>
      <c r="B149" s="31" t="n">
        <f aca="false">Raw_Sales_Weekly!E157</f>
        <v>52</v>
      </c>
      <c r="C149" s="31" t="n">
        <f aca="false">Raw_Sales_Weekly!C157</f>
        <v>93</v>
      </c>
      <c r="D149" s="18" t="n">
        <f aca="false">ROUND(FORECAST(B149,Raw_Sales_Weekly!$C$106:$C$151,Raw_Sales_Weekly!$E$106:$E$151),0)</f>
        <v>139</v>
      </c>
      <c r="E149" s="32" t="n">
        <f aca="false">IFERROR(ABS((D149-C149)/C149),"")</f>
        <v>0.494623655913979</v>
      </c>
      <c r="F149" s="18" t="n">
        <f aca="false">ABS(D149-C149)</f>
        <v>46</v>
      </c>
    </row>
    <row r="150" customFormat="false" ht="15" hidden="false" customHeight="true" outlineLevel="0" collapsed="false">
      <c r="A150" s="18" t="s">
        <v>181</v>
      </c>
      <c r="B150" s="31" t="n">
        <f aca="false">Raw_Sales_Weekly!E330</f>
        <v>47</v>
      </c>
      <c r="C150" s="31" t="n">
        <f aca="false">Raw_Sales_Weekly!C330</f>
        <v>58</v>
      </c>
      <c r="D150" s="18" t="n">
        <f aca="false">ROUND(FORECAST(B150,Raw_Sales_Weekly!$C$284:$C$329,Raw_Sales_Weekly!$E$284:$E$329),0)</f>
        <v>92</v>
      </c>
      <c r="E150" s="32" t="n">
        <f aca="false">IFERROR(ABS((D150-C150)/C150),"")</f>
        <v>0.586206896551724</v>
      </c>
      <c r="F150" s="18" t="n">
        <f aca="false">ABS(D150-C150)</f>
        <v>34</v>
      </c>
    </row>
    <row r="151" customFormat="false" ht="15" hidden="false" customHeight="true" outlineLevel="0" collapsed="false">
      <c r="A151" s="18" t="s">
        <v>181</v>
      </c>
      <c r="B151" s="31" t="n">
        <f aca="false">Raw_Sales_Weekly!E331</f>
        <v>48</v>
      </c>
      <c r="C151" s="31" t="n">
        <f aca="false">Raw_Sales_Weekly!C331</f>
        <v>78</v>
      </c>
      <c r="D151" s="18" t="n">
        <f aca="false">ROUND(FORECAST(B151,Raw_Sales_Weekly!$C$284:$C$329,Raw_Sales_Weekly!$E$284:$E$329),0)</f>
        <v>92</v>
      </c>
      <c r="E151" s="32" t="n">
        <f aca="false">IFERROR(ABS((D151-C151)/C151),"")</f>
        <v>0.17948717948718</v>
      </c>
      <c r="F151" s="18" t="n">
        <f aca="false">ABS(D151-C151)</f>
        <v>14</v>
      </c>
    </row>
    <row r="152" customFormat="false" ht="15" hidden="false" customHeight="true" outlineLevel="0" collapsed="false">
      <c r="A152" s="18" t="s">
        <v>181</v>
      </c>
      <c r="B152" s="31" t="n">
        <f aca="false">Raw_Sales_Weekly!E332</f>
        <v>49</v>
      </c>
      <c r="C152" s="31" t="n">
        <f aca="false">Raw_Sales_Weekly!C332</f>
        <v>69</v>
      </c>
      <c r="D152" s="18" t="n">
        <f aca="false">ROUND(FORECAST(B152,Raw_Sales_Weekly!$C$284:$C$329,Raw_Sales_Weekly!$E$284:$E$329),0)</f>
        <v>92</v>
      </c>
      <c r="E152" s="32" t="n">
        <f aca="false">IFERROR(ABS((D152-C152)/C152),"")</f>
        <v>0.333333333333333</v>
      </c>
      <c r="F152" s="18" t="n">
        <f aca="false">ABS(D152-C152)</f>
        <v>23</v>
      </c>
    </row>
    <row r="153" customFormat="false" ht="15" hidden="false" customHeight="true" outlineLevel="0" collapsed="false">
      <c r="A153" s="18" t="s">
        <v>181</v>
      </c>
      <c r="B153" s="31" t="n">
        <f aca="false">Raw_Sales_Weekly!E333</f>
        <v>50</v>
      </c>
      <c r="C153" s="31" t="n">
        <f aca="false">Raw_Sales_Weekly!C333</f>
        <v>74</v>
      </c>
      <c r="D153" s="18" t="n">
        <f aca="false">ROUND(FORECAST(B153,Raw_Sales_Weekly!$C$284:$C$329,Raw_Sales_Weekly!$E$284:$E$329),0)</f>
        <v>92</v>
      </c>
      <c r="E153" s="32" t="n">
        <f aca="false">IFERROR(ABS((D153-C153)/C153),"")</f>
        <v>0.243243243243243</v>
      </c>
      <c r="F153" s="18" t="n">
        <f aca="false">ABS(D153-C153)</f>
        <v>18</v>
      </c>
    </row>
    <row r="154" customFormat="false" ht="15" hidden="false" customHeight="true" outlineLevel="0" collapsed="false">
      <c r="A154" s="18" t="s">
        <v>181</v>
      </c>
      <c r="B154" s="31" t="n">
        <f aca="false">Raw_Sales_Weekly!E334</f>
        <v>51</v>
      </c>
      <c r="C154" s="31" t="n">
        <f aca="false">Raw_Sales_Weekly!C334</f>
        <v>82</v>
      </c>
      <c r="D154" s="18" t="n">
        <f aca="false">ROUND(FORECAST(B154,Raw_Sales_Weekly!$C$284:$C$329,Raw_Sales_Weekly!$E$284:$E$329),0)</f>
        <v>92</v>
      </c>
      <c r="E154" s="32" t="n">
        <f aca="false">IFERROR(ABS((D154-C154)/C154),"")</f>
        <v>0.121951219512195</v>
      </c>
      <c r="F154" s="18" t="n">
        <f aca="false">ABS(D154-C154)</f>
        <v>10</v>
      </c>
    </row>
    <row r="155" customFormat="false" ht="15" hidden="false" customHeight="true" outlineLevel="0" collapsed="false">
      <c r="A155" s="18" t="s">
        <v>181</v>
      </c>
      <c r="B155" s="31" t="n">
        <f aca="false">Raw_Sales_Weekly!E335</f>
        <v>52</v>
      </c>
      <c r="C155" s="31" t="n">
        <f aca="false">Raw_Sales_Weekly!C335</f>
        <v>102</v>
      </c>
      <c r="D155" s="18" t="n">
        <f aca="false">ROUND(FORECAST(B155,Raw_Sales_Weekly!$C$284:$C$329,Raw_Sales_Weekly!$E$284:$E$329),0)</f>
        <v>92</v>
      </c>
      <c r="E155" s="32" t="n">
        <f aca="false">IFERROR(ABS((D155-C155)/C155),"")</f>
        <v>0.0980392156862745</v>
      </c>
      <c r="F155" s="18" t="n">
        <f aca="false">ABS(D155-C155)</f>
        <v>10</v>
      </c>
    </row>
    <row r="156" customFormat="false" ht="15" hidden="false" customHeight="true" outlineLevel="0" collapsed="false">
      <c r="A156" s="18" t="s">
        <v>215</v>
      </c>
      <c r="B156" s="31" t="n">
        <f aca="false">Raw_Sales_Weekly!E938</f>
        <v>47</v>
      </c>
      <c r="C156" s="31" t="n">
        <f aca="false">Raw_Sales_Weekly!C938</f>
        <v>74</v>
      </c>
      <c r="D156" s="18" t="n">
        <f aca="false">ROUND(FORECAST(B156,Raw_Sales_Weekly!$C$892:$C$937,Raw_Sales_Weekly!$E$892:$E$937),0)</f>
        <v>91</v>
      </c>
      <c r="E156" s="32" t="n">
        <f aca="false">IFERROR(ABS((D156-C156)/C156),"")</f>
        <v>0.22972972972973</v>
      </c>
      <c r="F156" s="18" t="n">
        <f aca="false">ABS(D156-C156)</f>
        <v>17</v>
      </c>
    </row>
    <row r="157" customFormat="false" ht="15" hidden="false" customHeight="true" outlineLevel="0" collapsed="false">
      <c r="A157" s="18" t="s">
        <v>215</v>
      </c>
      <c r="B157" s="31" t="n">
        <f aca="false">Raw_Sales_Weekly!E939</f>
        <v>48</v>
      </c>
      <c r="C157" s="31" t="n">
        <f aca="false">Raw_Sales_Weekly!C939</f>
        <v>49</v>
      </c>
      <c r="D157" s="18" t="n">
        <f aca="false">ROUND(FORECAST(B157,Raw_Sales_Weekly!$C$892:$C$937,Raw_Sales_Weekly!$E$892:$E$937),0)</f>
        <v>91</v>
      </c>
      <c r="E157" s="32" t="n">
        <f aca="false">IFERROR(ABS((D157-C157)/C157),"")</f>
        <v>0.857142857142857</v>
      </c>
      <c r="F157" s="18" t="n">
        <f aca="false">ABS(D157-C157)</f>
        <v>42</v>
      </c>
    </row>
    <row r="158" customFormat="false" ht="15" hidden="false" customHeight="true" outlineLevel="0" collapsed="false">
      <c r="A158" s="18" t="s">
        <v>215</v>
      </c>
      <c r="B158" s="31" t="n">
        <f aca="false">Raw_Sales_Weekly!E940</f>
        <v>49</v>
      </c>
      <c r="C158" s="31" t="n">
        <f aca="false">Raw_Sales_Weekly!C940</f>
        <v>79</v>
      </c>
      <c r="D158" s="18" t="n">
        <f aca="false">ROUND(FORECAST(B158,Raw_Sales_Weekly!$C$892:$C$937,Raw_Sales_Weekly!$E$892:$E$937),0)</f>
        <v>90</v>
      </c>
      <c r="E158" s="32" t="n">
        <f aca="false">IFERROR(ABS((D158-C158)/C158),"")</f>
        <v>0.139240506329114</v>
      </c>
      <c r="F158" s="18" t="n">
        <f aca="false">ABS(D158-C158)</f>
        <v>11</v>
      </c>
    </row>
    <row r="159" customFormat="false" ht="15" hidden="false" customHeight="true" outlineLevel="0" collapsed="false">
      <c r="A159" s="18" t="s">
        <v>215</v>
      </c>
      <c r="B159" s="31" t="n">
        <f aca="false">Raw_Sales_Weekly!E941</f>
        <v>50</v>
      </c>
      <c r="C159" s="31" t="n">
        <f aca="false">Raw_Sales_Weekly!C941</f>
        <v>130</v>
      </c>
      <c r="D159" s="18" t="n">
        <f aca="false">ROUND(FORECAST(B159,Raw_Sales_Weekly!$C$892:$C$937,Raw_Sales_Weekly!$E$892:$E$937),0)</f>
        <v>90</v>
      </c>
      <c r="E159" s="32" t="n">
        <f aca="false">IFERROR(ABS((D159-C159)/C159),"")</f>
        <v>0.307692307692308</v>
      </c>
      <c r="F159" s="18" t="n">
        <f aca="false">ABS(D159-C159)</f>
        <v>40</v>
      </c>
    </row>
    <row r="160" customFormat="false" ht="15" hidden="false" customHeight="true" outlineLevel="0" collapsed="false">
      <c r="A160" s="18" t="s">
        <v>215</v>
      </c>
      <c r="B160" s="31" t="n">
        <f aca="false">Raw_Sales_Weekly!E942</f>
        <v>51</v>
      </c>
      <c r="C160" s="31" t="n">
        <f aca="false">Raw_Sales_Weekly!C942</f>
        <v>95</v>
      </c>
      <c r="D160" s="18" t="n">
        <f aca="false">ROUND(FORECAST(B160,Raw_Sales_Weekly!$C$892:$C$937,Raw_Sales_Weekly!$E$892:$E$937),0)</f>
        <v>90</v>
      </c>
      <c r="E160" s="32" t="n">
        <f aca="false">IFERROR(ABS((D160-C160)/C160),"")</f>
        <v>0.0526315789473684</v>
      </c>
      <c r="F160" s="18" t="n">
        <f aca="false">ABS(D160-C160)</f>
        <v>5</v>
      </c>
    </row>
    <row r="161" customFormat="false" ht="15" hidden="false" customHeight="true" outlineLevel="0" collapsed="false">
      <c r="A161" s="18" t="s">
        <v>215</v>
      </c>
      <c r="B161" s="31" t="n">
        <f aca="false">Raw_Sales_Weekly!E943</f>
        <v>52</v>
      </c>
      <c r="C161" s="31" t="n">
        <f aca="false">Raw_Sales_Weekly!C943</f>
        <v>54</v>
      </c>
      <c r="D161" s="18" t="n">
        <f aca="false">ROUND(FORECAST(B161,Raw_Sales_Weekly!$C$892:$C$937,Raw_Sales_Weekly!$E$892:$E$937),0)</f>
        <v>90</v>
      </c>
      <c r="E161" s="32" t="n">
        <f aca="false">IFERROR(ABS((D161-C161)/C161),"")</f>
        <v>0.666666666666667</v>
      </c>
      <c r="F161" s="18" t="n">
        <f aca="false">ABS(D161-C161)</f>
        <v>36</v>
      </c>
    </row>
    <row r="162" customFormat="false" ht="15" hidden="false" customHeight="true" outlineLevel="0" collapsed="false">
      <c r="A162" s="18" t="s">
        <v>173</v>
      </c>
      <c r="B162" s="31" t="n">
        <f aca="false">Raw_Sales_Weekly!E268</f>
        <v>47</v>
      </c>
      <c r="C162" s="31" t="n">
        <f aca="false">Raw_Sales_Weekly!C268</f>
        <v>74</v>
      </c>
      <c r="D162" s="18" t="n">
        <f aca="false">ROUND(FORECAST(B162,Raw_Sales_Weekly!$C$222:$C$267,Raw_Sales_Weekly!$E$222:$E$267),0)</f>
        <v>74</v>
      </c>
      <c r="E162" s="32" t="n">
        <f aca="false">IFERROR(ABS((D162-C162)/C162),"")</f>
        <v>0</v>
      </c>
      <c r="F162" s="18" t="n">
        <f aca="false">ABS(D162-C162)</f>
        <v>0</v>
      </c>
    </row>
    <row r="163" customFormat="false" ht="15" hidden="false" customHeight="true" outlineLevel="0" collapsed="false">
      <c r="A163" s="18" t="s">
        <v>173</v>
      </c>
      <c r="B163" s="31" t="n">
        <f aca="false">Raw_Sales_Weekly!E269</f>
        <v>48</v>
      </c>
      <c r="C163" s="31" t="n">
        <f aca="false">Raw_Sales_Weekly!C269</f>
        <v>59</v>
      </c>
      <c r="D163" s="18" t="n">
        <f aca="false">ROUND(FORECAST(B163,Raw_Sales_Weekly!$C$222:$C$267,Raw_Sales_Weekly!$E$222:$E$267),0)</f>
        <v>74</v>
      </c>
      <c r="E163" s="32" t="n">
        <f aca="false">IFERROR(ABS((D163-C163)/C163),"")</f>
        <v>0.254237288135593</v>
      </c>
      <c r="F163" s="18" t="n">
        <f aca="false">ABS(D163-C163)</f>
        <v>15</v>
      </c>
    </row>
    <row r="164" customFormat="false" ht="15" hidden="false" customHeight="true" outlineLevel="0" collapsed="false">
      <c r="A164" s="18" t="s">
        <v>173</v>
      </c>
      <c r="B164" s="31" t="n">
        <f aca="false">Raw_Sales_Weekly!E270</f>
        <v>49</v>
      </c>
      <c r="C164" s="31" t="n">
        <f aca="false">Raw_Sales_Weekly!C270</f>
        <v>46</v>
      </c>
      <c r="D164" s="18" t="n">
        <f aca="false">ROUND(FORECAST(B164,Raw_Sales_Weekly!$C$222:$C$267,Raw_Sales_Weekly!$E$222:$E$267),0)</f>
        <v>74</v>
      </c>
      <c r="E164" s="32" t="n">
        <f aca="false">IFERROR(ABS((D164-C164)/C164),"")</f>
        <v>0.608695652173913</v>
      </c>
      <c r="F164" s="18" t="n">
        <f aca="false">ABS(D164-C164)</f>
        <v>28</v>
      </c>
    </row>
    <row r="165" customFormat="false" ht="15" hidden="false" customHeight="true" outlineLevel="0" collapsed="false">
      <c r="A165" s="18" t="s">
        <v>173</v>
      </c>
      <c r="B165" s="31" t="n">
        <f aca="false">Raw_Sales_Weekly!E271</f>
        <v>50</v>
      </c>
      <c r="C165" s="31" t="n">
        <f aca="false">Raw_Sales_Weekly!C271</f>
        <v>32</v>
      </c>
      <c r="D165" s="18" t="n">
        <f aca="false">ROUND(FORECAST(B165,Raw_Sales_Weekly!$C$222:$C$267,Raw_Sales_Weekly!$E$222:$E$267),0)</f>
        <v>74</v>
      </c>
      <c r="E165" s="32" t="n">
        <f aca="false">IFERROR(ABS((D165-C165)/C165),"")</f>
        <v>1.3125</v>
      </c>
      <c r="F165" s="18" t="n">
        <f aca="false">ABS(D165-C165)</f>
        <v>42</v>
      </c>
    </row>
    <row r="166" customFormat="false" ht="15" hidden="false" customHeight="true" outlineLevel="0" collapsed="false">
      <c r="A166" s="18" t="s">
        <v>173</v>
      </c>
      <c r="B166" s="31" t="n">
        <f aca="false">Raw_Sales_Weekly!E272</f>
        <v>51</v>
      </c>
      <c r="C166" s="31" t="n">
        <f aca="false">Raw_Sales_Weekly!C272</f>
        <v>74</v>
      </c>
      <c r="D166" s="18" t="n">
        <f aca="false">ROUND(FORECAST(B166,Raw_Sales_Weekly!$C$222:$C$267,Raw_Sales_Weekly!$E$222:$E$267),0)</f>
        <v>74</v>
      </c>
      <c r="E166" s="32" t="n">
        <f aca="false">IFERROR(ABS((D166-C166)/C166),"")</f>
        <v>0</v>
      </c>
      <c r="F166" s="18" t="n">
        <f aca="false">ABS(D166-C166)</f>
        <v>0</v>
      </c>
    </row>
    <row r="167" customFormat="false" ht="15" hidden="false" customHeight="true" outlineLevel="0" collapsed="false">
      <c r="A167" s="18" t="s">
        <v>173</v>
      </c>
      <c r="B167" s="31" t="n">
        <f aca="false">Raw_Sales_Weekly!E273</f>
        <v>52</v>
      </c>
      <c r="C167" s="31" t="n">
        <f aca="false">Raw_Sales_Weekly!C273</f>
        <v>103</v>
      </c>
      <c r="D167" s="18" t="n">
        <f aca="false">ROUND(FORECAST(B167,Raw_Sales_Weekly!$C$222:$C$267,Raw_Sales_Weekly!$E$222:$E$267),0)</f>
        <v>74</v>
      </c>
      <c r="E167" s="32" t="n">
        <f aca="false">IFERROR(ABS((D167-C167)/C167),"")</f>
        <v>0.281553398058252</v>
      </c>
      <c r="F167" s="18" t="n">
        <f aca="false">ABS(D167-C167)</f>
        <v>29</v>
      </c>
    </row>
    <row r="168" customFormat="false" ht="15" hidden="false" customHeight="true" outlineLevel="0" collapsed="false">
      <c r="A168" s="18" t="s">
        <v>254</v>
      </c>
      <c r="B168" s="31" t="n">
        <f aca="false">Raw_Sales_Weekly!E1632</f>
        <v>47</v>
      </c>
      <c r="C168" s="31" t="n">
        <f aca="false">Raw_Sales_Weekly!C1632</f>
        <v>174</v>
      </c>
      <c r="D168" s="18" t="n">
        <f aca="false">ROUND(FORECAST(B168,Raw_Sales_Weekly!$C$1586:$C$1631,Raw_Sales_Weekly!$E$1586:$E$1631),0)</f>
        <v>167</v>
      </c>
      <c r="E168" s="32" t="n">
        <f aca="false">IFERROR(ABS((D168-C168)/C168),"")</f>
        <v>0.0402298850574713</v>
      </c>
      <c r="F168" s="18" t="n">
        <f aca="false">ABS(D168-C168)</f>
        <v>7</v>
      </c>
    </row>
    <row r="169" customFormat="false" ht="15" hidden="false" customHeight="true" outlineLevel="0" collapsed="false">
      <c r="A169" s="18" t="s">
        <v>254</v>
      </c>
      <c r="B169" s="31" t="n">
        <f aca="false">Raw_Sales_Weekly!E1633</f>
        <v>48</v>
      </c>
      <c r="C169" s="31" t="n">
        <f aca="false">Raw_Sales_Weekly!C1633</f>
        <v>150</v>
      </c>
      <c r="D169" s="18" t="n">
        <f aca="false">ROUND(FORECAST(B169,Raw_Sales_Weekly!$C$1586:$C$1631,Raw_Sales_Weekly!$E$1586:$E$1631),0)</f>
        <v>167</v>
      </c>
      <c r="E169" s="32" t="n">
        <f aca="false">IFERROR(ABS((D169-C169)/C169),"")</f>
        <v>0.113333333333333</v>
      </c>
      <c r="F169" s="18" t="n">
        <f aca="false">ABS(D169-C169)</f>
        <v>17</v>
      </c>
    </row>
    <row r="170" customFormat="false" ht="15" hidden="false" customHeight="true" outlineLevel="0" collapsed="false">
      <c r="A170" s="18" t="s">
        <v>254</v>
      </c>
      <c r="B170" s="31" t="n">
        <f aca="false">Raw_Sales_Weekly!E1634</f>
        <v>49</v>
      </c>
      <c r="C170" s="31" t="n">
        <f aca="false">Raw_Sales_Weekly!C1634</f>
        <v>130</v>
      </c>
      <c r="D170" s="18" t="n">
        <f aca="false">ROUND(FORECAST(B170,Raw_Sales_Weekly!$C$1586:$C$1631,Raw_Sales_Weekly!$E$1586:$E$1631),0)</f>
        <v>166</v>
      </c>
      <c r="E170" s="32" t="n">
        <f aca="false">IFERROR(ABS((D170-C170)/C170),"")</f>
        <v>0.276923076923077</v>
      </c>
      <c r="F170" s="18" t="n">
        <f aca="false">ABS(D170-C170)</f>
        <v>36</v>
      </c>
    </row>
    <row r="171" customFormat="false" ht="15" hidden="false" customHeight="true" outlineLevel="0" collapsed="false">
      <c r="A171" s="18" t="s">
        <v>254</v>
      </c>
      <c r="B171" s="31" t="n">
        <f aca="false">Raw_Sales_Weekly!E1635</f>
        <v>50</v>
      </c>
      <c r="C171" s="31" t="n">
        <f aca="false">Raw_Sales_Weekly!C1635</f>
        <v>144</v>
      </c>
      <c r="D171" s="18" t="n">
        <f aca="false">ROUND(FORECAST(B171,Raw_Sales_Weekly!$C$1586:$C$1631,Raw_Sales_Weekly!$E$1586:$E$1631),0)</f>
        <v>166</v>
      </c>
      <c r="E171" s="32" t="n">
        <f aca="false">IFERROR(ABS((D171-C171)/C171),"")</f>
        <v>0.152777777777778</v>
      </c>
      <c r="F171" s="18" t="n">
        <f aca="false">ABS(D171-C171)</f>
        <v>22</v>
      </c>
    </row>
    <row r="172" customFormat="false" ht="15" hidden="false" customHeight="true" outlineLevel="0" collapsed="false">
      <c r="A172" s="18" t="s">
        <v>254</v>
      </c>
      <c r="B172" s="31" t="n">
        <f aca="false">Raw_Sales_Weekly!E1636</f>
        <v>51</v>
      </c>
      <c r="C172" s="31" t="n">
        <f aca="false">Raw_Sales_Weekly!C1636</f>
        <v>161</v>
      </c>
      <c r="D172" s="18" t="n">
        <f aca="false">ROUND(FORECAST(B172,Raw_Sales_Weekly!$C$1586:$C$1631,Raw_Sales_Weekly!$E$1586:$E$1631),0)</f>
        <v>166</v>
      </c>
      <c r="E172" s="32" t="n">
        <f aca="false">IFERROR(ABS((D172-C172)/C172),"")</f>
        <v>0.031055900621118</v>
      </c>
      <c r="F172" s="18" t="n">
        <f aca="false">ABS(D172-C172)</f>
        <v>5</v>
      </c>
    </row>
    <row r="173" customFormat="false" ht="15" hidden="false" customHeight="true" outlineLevel="0" collapsed="false">
      <c r="A173" s="18" t="s">
        <v>254</v>
      </c>
      <c r="B173" s="31" t="n">
        <f aca="false">Raw_Sales_Weekly!E1637</f>
        <v>52</v>
      </c>
      <c r="C173" s="31" t="n">
        <f aca="false">Raw_Sales_Weekly!C1637</f>
        <v>145</v>
      </c>
      <c r="D173" s="18" t="n">
        <f aca="false">ROUND(FORECAST(B173,Raw_Sales_Weekly!$C$1586:$C$1631,Raw_Sales_Weekly!$E$1586:$E$1631),0)</f>
        <v>165</v>
      </c>
      <c r="E173" s="32" t="n">
        <f aca="false">IFERROR(ABS((D173-C173)/C173),"")</f>
        <v>0.137931034482759</v>
      </c>
      <c r="F173" s="18" t="n">
        <f aca="false">ABS(D173-C173)</f>
        <v>20</v>
      </c>
    </row>
    <row r="174" customFormat="false" ht="15" hidden="false" customHeight="true" outlineLevel="0" collapsed="false">
      <c r="A174" s="18" t="s">
        <v>236</v>
      </c>
      <c r="B174" s="31" t="n">
        <f aca="false">Raw_Sales_Weekly!E1319</f>
        <v>15</v>
      </c>
      <c r="C174" s="31" t="n">
        <f aca="false">Raw_Sales_Weekly!C1319</f>
        <v>37</v>
      </c>
      <c r="D174" s="18" t="n">
        <f aca="false">ROUND(FORECAST(B174,Raw_Sales_Weekly!$C$1305:$C$1318,Raw_Sales_Weekly!$E$1305:$E$1318),0)</f>
        <v>42</v>
      </c>
      <c r="E174" s="32" t="n">
        <f aca="false">IFERROR(ABS((D174-C174)/C174),"")</f>
        <v>0.135135135135135</v>
      </c>
      <c r="F174" s="18" t="n">
        <f aca="false">ABS(D174-C174)</f>
        <v>5</v>
      </c>
    </row>
    <row r="175" customFormat="false" ht="15" hidden="false" customHeight="true" outlineLevel="0" collapsed="false">
      <c r="A175" s="18" t="s">
        <v>236</v>
      </c>
      <c r="B175" s="31" t="n">
        <f aca="false">Raw_Sales_Weekly!E1320</f>
        <v>16</v>
      </c>
      <c r="C175" s="31" t="n">
        <f aca="false">Raw_Sales_Weekly!C1320</f>
        <v>7</v>
      </c>
      <c r="D175" s="18" t="n">
        <f aca="false">ROUND(FORECAST(B175,Raw_Sales_Weekly!$C$1305:$C$1318,Raw_Sales_Weekly!$E$1305:$E$1318),0)</f>
        <v>39</v>
      </c>
      <c r="E175" s="32" t="n">
        <f aca="false">IFERROR(ABS((D175-C175)/C175),"")</f>
        <v>4.57142857142857</v>
      </c>
      <c r="F175" s="18" t="n">
        <f aca="false">ABS(D175-C175)</f>
        <v>32</v>
      </c>
    </row>
    <row r="176" customFormat="false" ht="15" hidden="false" customHeight="true" outlineLevel="0" collapsed="false">
      <c r="A176" s="18" t="s">
        <v>236</v>
      </c>
      <c r="B176" s="31" t="n">
        <f aca="false">Raw_Sales_Weekly!E1321</f>
        <v>17</v>
      </c>
      <c r="C176" s="31" t="n">
        <f aca="false">Raw_Sales_Weekly!C1321</f>
        <v>70</v>
      </c>
      <c r="D176" s="18" t="n">
        <f aca="false">ROUND(FORECAST(B176,Raw_Sales_Weekly!$C$1305:$C$1318,Raw_Sales_Weekly!$E$1305:$E$1318),0)</f>
        <v>36</v>
      </c>
      <c r="E176" s="32" t="n">
        <f aca="false">IFERROR(ABS((D176-C176)/C176),"")</f>
        <v>0.485714285714286</v>
      </c>
      <c r="F176" s="18" t="n">
        <f aca="false">ABS(D176-C176)</f>
        <v>34</v>
      </c>
    </row>
    <row r="177" customFormat="false" ht="15" hidden="false" customHeight="true" outlineLevel="0" collapsed="false">
      <c r="A177" s="18" t="s">
        <v>236</v>
      </c>
      <c r="B177" s="31" t="n">
        <f aca="false">Raw_Sales_Weekly!E1322</f>
        <v>18</v>
      </c>
      <c r="C177" s="31" t="n">
        <f aca="false">Raw_Sales_Weekly!C1322</f>
        <v>84</v>
      </c>
      <c r="D177" s="18" t="n">
        <f aca="false">ROUND(FORECAST(B177,Raw_Sales_Weekly!$C$1305:$C$1318,Raw_Sales_Weekly!$E$1305:$E$1318),0)</f>
        <v>33</v>
      </c>
      <c r="E177" s="32" t="n">
        <f aca="false">IFERROR(ABS((D177-C177)/C177),"")</f>
        <v>0.607142857142857</v>
      </c>
      <c r="F177" s="18" t="n">
        <f aca="false">ABS(D177-C177)</f>
        <v>51</v>
      </c>
    </row>
    <row r="178" customFormat="false" ht="15" hidden="false" customHeight="true" outlineLevel="0" collapsed="false">
      <c r="A178" s="18" t="s">
        <v>236</v>
      </c>
      <c r="B178" s="31" t="n">
        <f aca="false">Raw_Sales_Weekly!E1323</f>
        <v>19</v>
      </c>
      <c r="C178" s="31" t="n">
        <f aca="false">Raw_Sales_Weekly!C1323</f>
        <v>78</v>
      </c>
      <c r="D178" s="18" t="n">
        <f aca="false">ROUND(FORECAST(B178,Raw_Sales_Weekly!$C$1305:$C$1318,Raw_Sales_Weekly!$E$1305:$E$1318),0)</f>
        <v>30</v>
      </c>
      <c r="E178" s="32" t="n">
        <f aca="false">IFERROR(ABS((D178-C178)/C178),"")</f>
        <v>0.615384615384615</v>
      </c>
      <c r="F178" s="18" t="n">
        <f aca="false">ABS(D178-C178)</f>
        <v>48</v>
      </c>
    </row>
    <row r="179" customFormat="false" ht="15" hidden="false" customHeight="true" outlineLevel="0" collapsed="false">
      <c r="A179" s="18" t="s">
        <v>236</v>
      </c>
      <c r="B179" s="31" t="n">
        <f aca="false">Raw_Sales_Weekly!E1324</f>
        <v>20</v>
      </c>
      <c r="C179" s="31" t="n">
        <f aca="false">Raw_Sales_Weekly!C1324</f>
        <v>86</v>
      </c>
      <c r="D179" s="18" t="n">
        <f aca="false">ROUND(FORECAST(B179,Raw_Sales_Weekly!$C$1305:$C$1318,Raw_Sales_Weekly!$E$1305:$E$1318),0)</f>
        <v>27</v>
      </c>
      <c r="E179" s="32" t="n">
        <f aca="false">IFERROR(ABS((D179-C179)/C179),"")</f>
        <v>0.686046511627907</v>
      </c>
      <c r="F179" s="18" t="n">
        <f aca="false">ABS(D179-C179)</f>
        <v>59</v>
      </c>
    </row>
    <row r="180" customFormat="false" ht="15" hidden="false" customHeight="true" outlineLevel="0" collapsed="false">
      <c r="A180" s="18" t="s">
        <v>258</v>
      </c>
      <c r="B180" s="31" t="n">
        <f aca="false">Raw_Sales_Weekly!E1684</f>
        <v>47</v>
      </c>
      <c r="C180" s="31" t="n">
        <f aca="false">Raw_Sales_Weekly!C1684</f>
        <v>88</v>
      </c>
      <c r="D180" s="18" t="n">
        <f aca="false">ROUND(FORECAST(B180,Raw_Sales_Weekly!$C$1638:$C$1683,Raw_Sales_Weekly!$E$1638:$E$1683),0)</f>
        <v>83</v>
      </c>
      <c r="E180" s="32" t="n">
        <f aca="false">IFERROR(ABS((D180-C180)/C180),"")</f>
        <v>0.0568181818181818</v>
      </c>
      <c r="F180" s="18" t="n">
        <f aca="false">ABS(D180-C180)</f>
        <v>5</v>
      </c>
    </row>
    <row r="181" customFormat="false" ht="15" hidden="false" customHeight="true" outlineLevel="0" collapsed="false">
      <c r="A181" s="18" t="s">
        <v>258</v>
      </c>
      <c r="B181" s="31" t="n">
        <f aca="false">Raw_Sales_Weekly!E1685</f>
        <v>48</v>
      </c>
      <c r="C181" s="31" t="n">
        <f aca="false">Raw_Sales_Weekly!C1685</f>
        <v>51</v>
      </c>
      <c r="D181" s="18" t="n">
        <f aca="false">ROUND(FORECAST(B181,Raw_Sales_Weekly!$C$1638:$C$1683,Raw_Sales_Weekly!$E$1638:$E$1683),0)</f>
        <v>82</v>
      </c>
      <c r="E181" s="32" t="n">
        <f aca="false">IFERROR(ABS((D181-C181)/C181),"")</f>
        <v>0.607843137254902</v>
      </c>
      <c r="F181" s="18" t="n">
        <f aca="false">ABS(D181-C181)</f>
        <v>31</v>
      </c>
    </row>
    <row r="182" customFormat="false" ht="15" hidden="false" customHeight="true" outlineLevel="0" collapsed="false">
      <c r="A182" s="18" t="s">
        <v>258</v>
      </c>
      <c r="B182" s="31" t="n">
        <f aca="false">Raw_Sales_Weekly!E1686</f>
        <v>49</v>
      </c>
      <c r="C182" s="31" t="n">
        <f aca="false">Raw_Sales_Weekly!C1686</f>
        <v>74</v>
      </c>
      <c r="D182" s="18" t="n">
        <f aca="false">ROUND(FORECAST(B182,Raw_Sales_Weekly!$C$1638:$C$1683,Raw_Sales_Weekly!$E$1638:$E$1683),0)</f>
        <v>82</v>
      </c>
      <c r="E182" s="32" t="n">
        <f aca="false">IFERROR(ABS((D182-C182)/C182),"")</f>
        <v>0.108108108108108</v>
      </c>
      <c r="F182" s="18" t="n">
        <f aca="false">ABS(D182-C182)</f>
        <v>8</v>
      </c>
    </row>
    <row r="183" customFormat="false" ht="15" hidden="false" customHeight="true" outlineLevel="0" collapsed="false">
      <c r="A183" s="18" t="s">
        <v>258</v>
      </c>
      <c r="B183" s="31" t="n">
        <f aca="false">Raw_Sales_Weekly!E1687</f>
        <v>50</v>
      </c>
      <c r="C183" s="31" t="n">
        <f aca="false">Raw_Sales_Weekly!C1687</f>
        <v>60</v>
      </c>
      <c r="D183" s="18" t="n">
        <f aca="false">ROUND(FORECAST(B183,Raw_Sales_Weekly!$C$1638:$C$1683,Raw_Sales_Weekly!$E$1638:$E$1683),0)</f>
        <v>81</v>
      </c>
      <c r="E183" s="32" t="n">
        <f aca="false">IFERROR(ABS((D183-C183)/C183),"")</f>
        <v>0.35</v>
      </c>
      <c r="F183" s="18" t="n">
        <f aca="false">ABS(D183-C183)</f>
        <v>21</v>
      </c>
    </row>
    <row r="184" customFormat="false" ht="15" hidden="false" customHeight="true" outlineLevel="0" collapsed="false">
      <c r="A184" s="18" t="s">
        <v>258</v>
      </c>
      <c r="B184" s="31" t="n">
        <f aca="false">Raw_Sales_Weekly!E1688</f>
        <v>51</v>
      </c>
      <c r="C184" s="31" t="n">
        <f aca="false">Raw_Sales_Weekly!C1688</f>
        <v>86</v>
      </c>
      <c r="D184" s="18" t="n">
        <f aca="false">ROUND(FORECAST(B184,Raw_Sales_Weekly!$C$1638:$C$1683,Raw_Sales_Weekly!$E$1638:$E$1683),0)</f>
        <v>81</v>
      </c>
      <c r="E184" s="32" t="n">
        <f aca="false">IFERROR(ABS((D184-C184)/C184),"")</f>
        <v>0.0581395348837209</v>
      </c>
      <c r="F184" s="18" t="n">
        <f aca="false">ABS(D184-C184)</f>
        <v>5</v>
      </c>
    </row>
    <row r="185" customFormat="false" ht="15" hidden="false" customHeight="true" outlineLevel="0" collapsed="false">
      <c r="A185" s="18" t="s">
        <v>258</v>
      </c>
      <c r="B185" s="31" t="n">
        <f aca="false">Raw_Sales_Weekly!E1689</f>
        <v>52</v>
      </c>
      <c r="C185" s="31" t="n">
        <f aca="false">Raw_Sales_Weekly!C1689</f>
        <v>17</v>
      </c>
      <c r="D185" s="18" t="n">
        <f aca="false">ROUND(FORECAST(B185,Raw_Sales_Weekly!$C$1638:$C$1683,Raw_Sales_Weekly!$E$1638:$E$1683),0)</f>
        <v>81</v>
      </c>
      <c r="E185" s="32" t="n">
        <f aca="false">IFERROR(ABS((D185-C185)/C185),"")</f>
        <v>3.76470588235294</v>
      </c>
      <c r="F185" s="18" t="n">
        <f aca="false">ABS(D185-C185)</f>
        <v>64</v>
      </c>
    </row>
    <row r="186" customFormat="false" ht="15" hidden="false" customHeight="true" outlineLevel="0" collapsed="false">
      <c r="A186" s="18" t="s">
        <v>264</v>
      </c>
      <c r="B186" s="31" t="n">
        <f aca="false">Raw_Sales_Weekly!E1801</f>
        <v>47</v>
      </c>
      <c r="C186" s="31" t="n">
        <f aca="false">Raw_Sales_Weekly!C1801</f>
        <v>96</v>
      </c>
      <c r="D186" s="18" t="n">
        <f aca="false">ROUND(FORECAST(B186,Raw_Sales_Weekly!$C$1755:$C$1800,Raw_Sales_Weekly!$E$1755:$E$1800),0)</f>
        <v>117</v>
      </c>
      <c r="E186" s="32" t="n">
        <f aca="false">IFERROR(ABS((D186-C186)/C186),"")</f>
        <v>0.21875</v>
      </c>
      <c r="F186" s="18" t="n">
        <f aca="false">ABS(D186-C186)</f>
        <v>21</v>
      </c>
    </row>
    <row r="187" customFormat="false" ht="15" hidden="false" customHeight="true" outlineLevel="0" collapsed="false">
      <c r="A187" s="18" t="s">
        <v>264</v>
      </c>
      <c r="B187" s="31" t="n">
        <f aca="false">Raw_Sales_Weekly!E1802</f>
        <v>48</v>
      </c>
      <c r="C187" s="31" t="n">
        <f aca="false">Raw_Sales_Weekly!C1802</f>
        <v>107</v>
      </c>
      <c r="D187" s="18" t="n">
        <f aca="false">ROUND(FORECAST(B187,Raw_Sales_Weekly!$C$1755:$C$1800,Raw_Sales_Weekly!$E$1755:$E$1800),0)</f>
        <v>117</v>
      </c>
      <c r="E187" s="32" t="n">
        <f aca="false">IFERROR(ABS((D187-C187)/C187),"")</f>
        <v>0.0934579439252336</v>
      </c>
      <c r="F187" s="18" t="n">
        <f aca="false">ABS(D187-C187)</f>
        <v>10</v>
      </c>
    </row>
    <row r="188" customFormat="false" ht="15" hidden="false" customHeight="true" outlineLevel="0" collapsed="false">
      <c r="A188" s="18" t="s">
        <v>264</v>
      </c>
      <c r="B188" s="31" t="n">
        <f aca="false">Raw_Sales_Weekly!E1803</f>
        <v>49</v>
      </c>
      <c r="C188" s="31" t="n">
        <f aca="false">Raw_Sales_Weekly!C1803</f>
        <v>107</v>
      </c>
      <c r="D188" s="18" t="n">
        <f aca="false">ROUND(FORECAST(B188,Raw_Sales_Weekly!$C$1755:$C$1800,Raw_Sales_Weekly!$E$1755:$E$1800),0)</f>
        <v>118</v>
      </c>
      <c r="E188" s="32" t="n">
        <f aca="false">IFERROR(ABS((D188-C188)/C188),"")</f>
        <v>0.102803738317757</v>
      </c>
      <c r="F188" s="18" t="n">
        <f aca="false">ABS(D188-C188)</f>
        <v>11</v>
      </c>
    </row>
    <row r="189" customFormat="false" ht="15" hidden="false" customHeight="true" outlineLevel="0" collapsed="false">
      <c r="A189" s="18" t="s">
        <v>264</v>
      </c>
      <c r="B189" s="31" t="n">
        <f aca="false">Raw_Sales_Weekly!E1804</f>
        <v>50</v>
      </c>
      <c r="C189" s="31" t="n">
        <f aca="false">Raw_Sales_Weekly!C1804</f>
        <v>98</v>
      </c>
      <c r="D189" s="18" t="n">
        <f aca="false">ROUND(FORECAST(B189,Raw_Sales_Weekly!$C$1755:$C$1800,Raw_Sales_Weekly!$E$1755:$E$1800),0)</f>
        <v>118</v>
      </c>
      <c r="E189" s="32" t="n">
        <f aca="false">IFERROR(ABS((D189-C189)/C189),"")</f>
        <v>0.204081632653061</v>
      </c>
      <c r="F189" s="18" t="n">
        <f aca="false">ABS(D189-C189)</f>
        <v>20</v>
      </c>
    </row>
    <row r="190" customFormat="false" ht="15" hidden="false" customHeight="true" outlineLevel="0" collapsed="false">
      <c r="A190" s="18" t="s">
        <v>264</v>
      </c>
      <c r="B190" s="31" t="n">
        <f aca="false">Raw_Sales_Weekly!E1805</f>
        <v>51</v>
      </c>
      <c r="C190" s="31" t="n">
        <f aca="false">Raw_Sales_Weekly!C1805</f>
        <v>112</v>
      </c>
      <c r="D190" s="18" t="n">
        <f aca="false">ROUND(FORECAST(B190,Raw_Sales_Weekly!$C$1755:$C$1800,Raw_Sales_Weekly!$E$1755:$E$1800),0)</f>
        <v>119</v>
      </c>
      <c r="E190" s="32" t="n">
        <f aca="false">IFERROR(ABS((D190-C190)/C190),"")</f>
        <v>0.0625</v>
      </c>
      <c r="F190" s="18" t="n">
        <f aca="false">ABS(D190-C190)</f>
        <v>7</v>
      </c>
    </row>
    <row r="191" customFormat="false" ht="15" hidden="false" customHeight="true" outlineLevel="0" collapsed="false">
      <c r="A191" s="18" t="s">
        <v>264</v>
      </c>
      <c r="B191" s="31" t="n">
        <f aca="false">Raw_Sales_Weekly!E1806</f>
        <v>52</v>
      </c>
      <c r="C191" s="31" t="n">
        <f aca="false">Raw_Sales_Weekly!C1806</f>
        <v>115</v>
      </c>
      <c r="D191" s="18" t="n">
        <f aca="false">ROUND(FORECAST(B191,Raw_Sales_Weekly!$C$1755:$C$1800,Raw_Sales_Weekly!$E$1755:$E$1800),0)</f>
        <v>119</v>
      </c>
      <c r="E191" s="32" t="n">
        <f aca="false">IFERROR(ABS((D191-C191)/C191),"")</f>
        <v>0.0347826086956522</v>
      </c>
      <c r="F191" s="18" t="n">
        <f aca="false">ABS(D191-C191)</f>
        <v>4</v>
      </c>
    </row>
    <row r="192" customFormat="false" ht="15" hidden="false" customHeight="true" outlineLevel="0" collapsed="false">
      <c r="A192" s="18" t="s">
        <v>262</v>
      </c>
      <c r="B192" s="31" t="n">
        <f aca="false">Raw_Sales_Weekly!E1749</f>
        <v>47</v>
      </c>
      <c r="C192" s="31" t="n">
        <f aca="false">Raw_Sales_Weekly!C1749</f>
        <v>217</v>
      </c>
      <c r="D192" s="18" t="n">
        <f aca="false">ROUND(FORECAST(B192,Raw_Sales_Weekly!$C$1703:$C$1748,Raw_Sales_Weekly!$E$1703:$E$1748),0)</f>
        <v>229</v>
      </c>
      <c r="E192" s="32" t="n">
        <f aca="false">IFERROR(ABS((D192-C192)/C192),"")</f>
        <v>0.0552995391705069</v>
      </c>
      <c r="F192" s="18" t="n">
        <f aca="false">ABS(D192-C192)</f>
        <v>12</v>
      </c>
    </row>
    <row r="193" customFormat="false" ht="15" hidden="false" customHeight="true" outlineLevel="0" collapsed="false">
      <c r="A193" s="18" t="s">
        <v>262</v>
      </c>
      <c r="B193" s="31" t="n">
        <f aca="false">Raw_Sales_Weekly!E1750</f>
        <v>48</v>
      </c>
      <c r="C193" s="31" t="n">
        <f aca="false">Raw_Sales_Weekly!C1750</f>
        <v>229</v>
      </c>
      <c r="D193" s="18" t="n">
        <f aca="false">ROUND(FORECAST(B193,Raw_Sales_Weekly!$C$1703:$C$1748,Raw_Sales_Weekly!$E$1703:$E$1748),0)</f>
        <v>230</v>
      </c>
      <c r="E193" s="32" t="n">
        <f aca="false">IFERROR(ABS((D193-C193)/C193),"")</f>
        <v>0.00436681222707424</v>
      </c>
      <c r="F193" s="18" t="n">
        <f aca="false">ABS(D193-C193)</f>
        <v>1</v>
      </c>
    </row>
    <row r="194" customFormat="false" ht="15" hidden="false" customHeight="true" outlineLevel="0" collapsed="false">
      <c r="A194" s="18" t="s">
        <v>262</v>
      </c>
      <c r="B194" s="31" t="n">
        <f aca="false">Raw_Sales_Weekly!E1751</f>
        <v>49</v>
      </c>
      <c r="C194" s="31" t="n">
        <f aca="false">Raw_Sales_Weekly!C1751</f>
        <v>213</v>
      </c>
      <c r="D194" s="18" t="n">
        <f aca="false">ROUND(FORECAST(B194,Raw_Sales_Weekly!$C$1703:$C$1748,Raw_Sales_Weekly!$E$1703:$E$1748),0)</f>
        <v>231</v>
      </c>
      <c r="E194" s="32" t="n">
        <f aca="false">IFERROR(ABS((D194-C194)/C194),"")</f>
        <v>0.0845070422535211</v>
      </c>
      <c r="F194" s="18" t="n">
        <f aca="false">ABS(D194-C194)</f>
        <v>18</v>
      </c>
    </row>
    <row r="195" customFormat="false" ht="15" hidden="false" customHeight="true" outlineLevel="0" collapsed="false">
      <c r="A195" s="18" t="s">
        <v>262</v>
      </c>
      <c r="B195" s="31" t="n">
        <f aca="false">Raw_Sales_Weekly!E1752</f>
        <v>50</v>
      </c>
      <c r="C195" s="31" t="n">
        <f aca="false">Raw_Sales_Weekly!C1752</f>
        <v>226</v>
      </c>
      <c r="D195" s="18" t="n">
        <f aca="false">ROUND(FORECAST(B195,Raw_Sales_Weekly!$C$1703:$C$1748,Raw_Sales_Weekly!$E$1703:$E$1748),0)</f>
        <v>232</v>
      </c>
      <c r="E195" s="32" t="n">
        <f aca="false">IFERROR(ABS((D195-C195)/C195),"")</f>
        <v>0.0265486725663717</v>
      </c>
      <c r="F195" s="18" t="n">
        <f aca="false">ABS(D195-C195)</f>
        <v>6</v>
      </c>
    </row>
    <row r="196" customFormat="false" ht="15" hidden="false" customHeight="true" outlineLevel="0" collapsed="false">
      <c r="A196" s="18" t="s">
        <v>262</v>
      </c>
      <c r="B196" s="31" t="n">
        <f aca="false">Raw_Sales_Weekly!E1753</f>
        <v>51</v>
      </c>
      <c r="C196" s="31" t="n">
        <f aca="false">Raw_Sales_Weekly!C1753</f>
        <v>262</v>
      </c>
      <c r="D196" s="18" t="n">
        <f aca="false">ROUND(FORECAST(B196,Raw_Sales_Weekly!$C$1703:$C$1748,Raw_Sales_Weekly!$E$1703:$E$1748),0)</f>
        <v>233</v>
      </c>
      <c r="E196" s="32" t="n">
        <f aca="false">IFERROR(ABS((D196-C196)/C196),"")</f>
        <v>0.110687022900763</v>
      </c>
      <c r="F196" s="18" t="n">
        <f aca="false">ABS(D196-C196)</f>
        <v>29</v>
      </c>
    </row>
    <row r="197" customFormat="false" ht="15" hidden="false" customHeight="true" outlineLevel="0" collapsed="false">
      <c r="A197" s="18" t="s">
        <v>262</v>
      </c>
      <c r="B197" s="31" t="n">
        <f aca="false">Raw_Sales_Weekly!E1754</f>
        <v>52</v>
      </c>
      <c r="C197" s="31" t="n">
        <f aca="false">Raw_Sales_Weekly!C1754</f>
        <v>224</v>
      </c>
      <c r="D197" s="18" t="n">
        <f aca="false">ROUND(FORECAST(B197,Raw_Sales_Weekly!$C$1703:$C$1748,Raw_Sales_Weekly!$E$1703:$E$1748),0)</f>
        <v>234</v>
      </c>
      <c r="E197" s="32" t="n">
        <f aca="false">IFERROR(ABS((D197-C197)/C197),"")</f>
        <v>0.0446428571428571</v>
      </c>
      <c r="F197" s="18" t="n">
        <f aca="false">ABS(D197-C197)</f>
        <v>10</v>
      </c>
    </row>
    <row r="198" customFormat="false" ht="15" hidden="false" customHeight="true" outlineLevel="0" collapsed="false">
      <c r="A198" s="18" t="s">
        <v>221</v>
      </c>
      <c r="B198" s="31" t="n">
        <f aca="false">Raw_Sales_Weekly!E1042</f>
        <v>47</v>
      </c>
      <c r="C198" s="31" t="n">
        <f aca="false">Raw_Sales_Weekly!C1042</f>
        <v>85</v>
      </c>
      <c r="D198" s="18" t="n">
        <f aca="false">ROUND(FORECAST(B198,Raw_Sales_Weekly!$C$996:$C$1041,Raw_Sales_Weekly!$E$996:$E$1041),0)</f>
        <v>87</v>
      </c>
      <c r="E198" s="32" t="n">
        <f aca="false">IFERROR(ABS((D198-C198)/C198),"")</f>
        <v>0.0235294117647059</v>
      </c>
      <c r="F198" s="18" t="n">
        <f aca="false">ABS(D198-C198)</f>
        <v>2</v>
      </c>
    </row>
    <row r="199" customFormat="false" ht="15" hidden="false" customHeight="true" outlineLevel="0" collapsed="false">
      <c r="A199" s="18" t="s">
        <v>221</v>
      </c>
      <c r="B199" s="31" t="n">
        <f aca="false">Raw_Sales_Weekly!E1043</f>
        <v>48</v>
      </c>
      <c r="C199" s="31" t="n">
        <f aca="false">Raw_Sales_Weekly!C1043</f>
        <v>78</v>
      </c>
      <c r="D199" s="18" t="n">
        <f aca="false">ROUND(FORECAST(B199,Raw_Sales_Weekly!$C$996:$C$1041,Raw_Sales_Weekly!$E$996:$E$1041),0)</f>
        <v>87</v>
      </c>
      <c r="E199" s="32" t="n">
        <f aca="false">IFERROR(ABS((D199-C199)/C199),"")</f>
        <v>0.115384615384615</v>
      </c>
      <c r="F199" s="18" t="n">
        <f aca="false">ABS(D199-C199)</f>
        <v>9</v>
      </c>
    </row>
    <row r="200" customFormat="false" ht="15" hidden="false" customHeight="true" outlineLevel="0" collapsed="false">
      <c r="A200" s="18" t="s">
        <v>221</v>
      </c>
      <c r="B200" s="31" t="n">
        <f aca="false">Raw_Sales_Weekly!E1044</f>
        <v>49</v>
      </c>
      <c r="C200" s="31" t="n">
        <f aca="false">Raw_Sales_Weekly!C1044</f>
        <v>71</v>
      </c>
      <c r="D200" s="18" t="n">
        <f aca="false">ROUND(FORECAST(B200,Raw_Sales_Weekly!$C$996:$C$1041,Raw_Sales_Weekly!$E$996:$E$1041),0)</f>
        <v>87</v>
      </c>
      <c r="E200" s="32" t="n">
        <f aca="false">IFERROR(ABS((D200-C200)/C200),"")</f>
        <v>0.225352112676056</v>
      </c>
      <c r="F200" s="18" t="n">
        <f aca="false">ABS(D200-C200)</f>
        <v>16</v>
      </c>
    </row>
    <row r="201" customFormat="false" ht="15" hidden="false" customHeight="true" outlineLevel="0" collapsed="false">
      <c r="A201" s="18" t="s">
        <v>221</v>
      </c>
      <c r="B201" s="31" t="n">
        <f aca="false">Raw_Sales_Weekly!E1045</f>
        <v>50</v>
      </c>
      <c r="C201" s="31" t="n">
        <f aca="false">Raw_Sales_Weekly!C1045</f>
        <v>93</v>
      </c>
      <c r="D201" s="18" t="n">
        <f aca="false">ROUND(FORECAST(B201,Raw_Sales_Weekly!$C$996:$C$1041,Raw_Sales_Weekly!$E$996:$E$1041),0)</f>
        <v>87</v>
      </c>
      <c r="E201" s="32" t="n">
        <f aca="false">IFERROR(ABS((D201-C201)/C201),"")</f>
        <v>0.0645161290322581</v>
      </c>
      <c r="F201" s="18" t="n">
        <f aca="false">ABS(D201-C201)</f>
        <v>6</v>
      </c>
    </row>
    <row r="202" customFormat="false" ht="15" hidden="false" customHeight="true" outlineLevel="0" collapsed="false">
      <c r="A202" s="18" t="s">
        <v>221</v>
      </c>
      <c r="B202" s="31" t="n">
        <f aca="false">Raw_Sales_Weekly!E1046</f>
        <v>51</v>
      </c>
      <c r="C202" s="31" t="n">
        <f aca="false">Raw_Sales_Weekly!C1046</f>
        <v>86</v>
      </c>
      <c r="D202" s="18" t="n">
        <f aca="false">ROUND(FORECAST(B202,Raw_Sales_Weekly!$C$996:$C$1041,Raw_Sales_Weekly!$E$996:$E$1041),0)</f>
        <v>86</v>
      </c>
      <c r="E202" s="32" t="n">
        <f aca="false">IFERROR(ABS((D202-C202)/C202),"")</f>
        <v>0</v>
      </c>
      <c r="F202" s="18" t="n">
        <f aca="false">ABS(D202-C202)</f>
        <v>0</v>
      </c>
    </row>
    <row r="203" customFormat="false" ht="15" hidden="false" customHeight="true" outlineLevel="0" collapsed="false">
      <c r="A203" s="18" t="s">
        <v>221</v>
      </c>
      <c r="B203" s="31" t="n">
        <f aca="false">Raw_Sales_Weekly!E1047</f>
        <v>52</v>
      </c>
      <c r="C203" s="31" t="n">
        <f aca="false">Raw_Sales_Weekly!C1047</f>
        <v>105</v>
      </c>
      <c r="D203" s="18" t="n">
        <f aca="false">ROUND(FORECAST(B203,Raw_Sales_Weekly!$C$996:$C$1041,Raw_Sales_Weekly!$E$996:$E$1041),0)</f>
        <v>86</v>
      </c>
      <c r="E203" s="32" t="n">
        <f aca="false">IFERROR(ABS((D203-C203)/C203),"")</f>
        <v>0.180952380952381</v>
      </c>
      <c r="F203" s="18" t="n">
        <f aca="false">ABS(D203-C203)</f>
        <v>19</v>
      </c>
    </row>
    <row r="204" customFormat="false" ht="15" hidden="false" customHeight="true" outlineLevel="0" collapsed="false">
      <c r="A204" s="18" t="s">
        <v>226</v>
      </c>
      <c r="B204" s="31" t="n">
        <f aca="false">Raw_Sales_Weekly!E1146</f>
        <v>47</v>
      </c>
      <c r="C204" s="31" t="n">
        <f aca="false">Raw_Sales_Weekly!C1146</f>
        <v>23</v>
      </c>
      <c r="D204" s="18" t="n">
        <f aca="false">ROUND(FORECAST(B204,Raw_Sales_Weekly!$C$1100:$C$1145,Raw_Sales_Weekly!$E$1100:$E$1145),0)</f>
        <v>63</v>
      </c>
      <c r="E204" s="32" t="n">
        <f aca="false">IFERROR(ABS((D204-C204)/C204),"")</f>
        <v>1.73913043478261</v>
      </c>
      <c r="F204" s="18" t="n">
        <f aca="false">ABS(D204-C204)</f>
        <v>40</v>
      </c>
    </row>
    <row r="205" customFormat="false" ht="15" hidden="false" customHeight="true" outlineLevel="0" collapsed="false">
      <c r="A205" s="18" t="s">
        <v>226</v>
      </c>
      <c r="B205" s="31" t="n">
        <f aca="false">Raw_Sales_Weekly!E1147</f>
        <v>48</v>
      </c>
      <c r="C205" s="31" t="n">
        <f aca="false">Raw_Sales_Weekly!C1147</f>
        <v>40</v>
      </c>
      <c r="D205" s="18" t="n">
        <f aca="false">ROUND(FORECAST(B205,Raw_Sales_Weekly!$C$1100:$C$1145,Raw_Sales_Weekly!$E$1100:$E$1145),0)</f>
        <v>62</v>
      </c>
      <c r="E205" s="32" t="n">
        <f aca="false">IFERROR(ABS((D205-C205)/C205),"")</f>
        <v>0.55</v>
      </c>
      <c r="F205" s="18" t="n">
        <f aca="false">ABS(D205-C205)</f>
        <v>22</v>
      </c>
    </row>
    <row r="206" customFormat="false" ht="15" hidden="false" customHeight="true" outlineLevel="0" collapsed="false">
      <c r="A206" s="18" t="s">
        <v>226</v>
      </c>
      <c r="B206" s="31" t="n">
        <f aca="false">Raw_Sales_Weekly!E1148</f>
        <v>49</v>
      </c>
      <c r="C206" s="31" t="n">
        <f aca="false">Raw_Sales_Weekly!C1148</f>
        <v>45</v>
      </c>
      <c r="D206" s="18" t="n">
        <f aca="false">ROUND(FORECAST(B206,Raw_Sales_Weekly!$C$1100:$C$1145,Raw_Sales_Weekly!$E$1100:$E$1145),0)</f>
        <v>62</v>
      </c>
      <c r="E206" s="32" t="n">
        <f aca="false">IFERROR(ABS((D206-C206)/C206),"")</f>
        <v>0.377777777777778</v>
      </c>
      <c r="F206" s="18" t="n">
        <f aca="false">ABS(D206-C206)</f>
        <v>17</v>
      </c>
    </row>
    <row r="207" customFormat="false" ht="15" hidden="false" customHeight="true" outlineLevel="0" collapsed="false">
      <c r="A207" s="18" t="s">
        <v>226</v>
      </c>
      <c r="B207" s="31" t="n">
        <f aca="false">Raw_Sales_Weekly!E1149</f>
        <v>50</v>
      </c>
      <c r="C207" s="31" t="n">
        <f aca="false">Raw_Sales_Weekly!C1149</f>
        <v>41</v>
      </c>
      <c r="D207" s="18" t="n">
        <f aca="false">ROUND(FORECAST(B207,Raw_Sales_Weekly!$C$1100:$C$1145,Raw_Sales_Weekly!$E$1100:$E$1145),0)</f>
        <v>61</v>
      </c>
      <c r="E207" s="32" t="n">
        <f aca="false">IFERROR(ABS((D207-C207)/C207),"")</f>
        <v>0.487804878048781</v>
      </c>
      <c r="F207" s="18" t="n">
        <f aca="false">ABS(D207-C207)</f>
        <v>20</v>
      </c>
    </row>
    <row r="208" customFormat="false" ht="15" hidden="false" customHeight="true" outlineLevel="0" collapsed="false">
      <c r="A208" s="18" t="s">
        <v>226</v>
      </c>
      <c r="B208" s="31" t="n">
        <f aca="false">Raw_Sales_Weekly!E1150</f>
        <v>51</v>
      </c>
      <c r="C208" s="31" t="n">
        <f aca="false">Raw_Sales_Weekly!C1150</f>
        <v>68</v>
      </c>
      <c r="D208" s="18" t="n">
        <f aca="false">ROUND(FORECAST(B208,Raw_Sales_Weekly!$C$1100:$C$1145,Raw_Sales_Weekly!$E$1100:$E$1145),0)</f>
        <v>61</v>
      </c>
      <c r="E208" s="32" t="n">
        <f aca="false">IFERROR(ABS((D208-C208)/C208),"")</f>
        <v>0.102941176470588</v>
      </c>
      <c r="F208" s="18" t="n">
        <f aca="false">ABS(D208-C208)</f>
        <v>7</v>
      </c>
    </row>
    <row r="209" customFormat="false" ht="15" hidden="false" customHeight="true" outlineLevel="0" collapsed="false">
      <c r="A209" s="18" t="s">
        <v>226</v>
      </c>
      <c r="B209" s="31" t="n">
        <f aca="false">Raw_Sales_Weekly!E1151</f>
        <v>52</v>
      </c>
      <c r="C209" s="31" t="n">
        <f aca="false">Raw_Sales_Weekly!C1151</f>
        <v>50</v>
      </c>
      <c r="D209" s="18" t="n">
        <f aca="false">ROUND(FORECAST(B209,Raw_Sales_Weekly!$C$1100:$C$1145,Raw_Sales_Weekly!$E$1100:$E$1145),0)</f>
        <v>60</v>
      </c>
      <c r="E209" s="32" t="n">
        <f aca="false">IFERROR(ABS((D209-C209)/C209),"")</f>
        <v>0.2</v>
      </c>
      <c r="F209" s="18" t="n">
        <f aca="false">ABS(D209-C209)</f>
        <v>10</v>
      </c>
    </row>
    <row r="210" customFormat="false" ht="15" hidden="false" customHeight="true" outlineLevel="0" collapsed="false">
      <c r="A210" s="18" t="s">
        <v>223</v>
      </c>
      <c r="B210" s="31" t="n">
        <f aca="false">Raw_Sales_Weekly!E1094</f>
        <v>47</v>
      </c>
      <c r="C210" s="31" t="n">
        <f aca="false">Raw_Sales_Weekly!C1094</f>
        <v>77</v>
      </c>
      <c r="D210" s="18" t="n">
        <f aca="false">ROUND(FORECAST(B210,Raw_Sales_Weekly!$C$1048:$C$1093,Raw_Sales_Weekly!$E$1048:$E$1093),0)</f>
        <v>94</v>
      </c>
      <c r="E210" s="32" t="n">
        <f aca="false">IFERROR(ABS((D210-C210)/C210),"")</f>
        <v>0.220779220779221</v>
      </c>
      <c r="F210" s="18" t="n">
        <f aca="false">ABS(D210-C210)</f>
        <v>17</v>
      </c>
    </row>
    <row r="211" customFormat="false" ht="15" hidden="false" customHeight="true" outlineLevel="0" collapsed="false">
      <c r="A211" s="18" t="s">
        <v>223</v>
      </c>
      <c r="B211" s="31" t="n">
        <f aca="false">Raw_Sales_Weekly!E1095</f>
        <v>48</v>
      </c>
      <c r="C211" s="31" t="n">
        <f aca="false">Raw_Sales_Weekly!C1095</f>
        <v>68</v>
      </c>
      <c r="D211" s="18" t="n">
        <f aca="false">ROUND(FORECAST(B211,Raw_Sales_Weekly!$C$1048:$C$1093,Raw_Sales_Weekly!$E$1048:$E$1093),0)</f>
        <v>94</v>
      </c>
      <c r="E211" s="32" t="n">
        <f aca="false">IFERROR(ABS((D211-C211)/C211),"")</f>
        <v>0.382352941176471</v>
      </c>
      <c r="F211" s="18" t="n">
        <f aca="false">ABS(D211-C211)</f>
        <v>26</v>
      </c>
    </row>
    <row r="212" customFormat="false" ht="15" hidden="false" customHeight="true" outlineLevel="0" collapsed="false">
      <c r="A212" s="18" t="s">
        <v>223</v>
      </c>
      <c r="B212" s="31" t="n">
        <f aca="false">Raw_Sales_Weekly!E1096</f>
        <v>49</v>
      </c>
      <c r="C212" s="31" t="n">
        <f aca="false">Raw_Sales_Weekly!C1096</f>
        <v>93</v>
      </c>
      <c r="D212" s="18" t="n">
        <f aca="false">ROUND(FORECAST(B212,Raw_Sales_Weekly!$C$1048:$C$1093,Raw_Sales_Weekly!$E$1048:$E$1093),0)</f>
        <v>94</v>
      </c>
      <c r="E212" s="32" t="n">
        <f aca="false">IFERROR(ABS((D212-C212)/C212),"")</f>
        <v>0.010752688172043</v>
      </c>
      <c r="F212" s="18" t="n">
        <f aca="false">ABS(D212-C212)</f>
        <v>1</v>
      </c>
    </row>
    <row r="213" customFormat="false" ht="15" hidden="false" customHeight="true" outlineLevel="0" collapsed="false">
      <c r="A213" s="18" t="s">
        <v>223</v>
      </c>
      <c r="B213" s="31" t="n">
        <f aca="false">Raw_Sales_Weekly!E1097</f>
        <v>50</v>
      </c>
      <c r="C213" s="31" t="n">
        <f aca="false">Raw_Sales_Weekly!C1097</f>
        <v>84</v>
      </c>
      <c r="D213" s="18" t="n">
        <f aca="false">ROUND(FORECAST(B213,Raw_Sales_Weekly!$C$1048:$C$1093,Raw_Sales_Weekly!$E$1048:$E$1093),0)</f>
        <v>95</v>
      </c>
      <c r="E213" s="32" t="n">
        <f aca="false">IFERROR(ABS((D213-C213)/C213),"")</f>
        <v>0.130952380952381</v>
      </c>
      <c r="F213" s="18" t="n">
        <f aca="false">ABS(D213-C213)</f>
        <v>11</v>
      </c>
    </row>
    <row r="214" customFormat="false" ht="15" hidden="false" customHeight="true" outlineLevel="0" collapsed="false">
      <c r="A214" s="18" t="s">
        <v>223</v>
      </c>
      <c r="B214" s="31" t="n">
        <f aca="false">Raw_Sales_Weekly!E1098</f>
        <v>51</v>
      </c>
      <c r="C214" s="31" t="n">
        <f aca="false">Raw_Sales_Weekly!C1098</f>
        <v>83</v>
      </c>
      <c r="D214" s="18" t="n">
        <f aca="false">ROUND(FORECAST(B214,Raw_Sales_Weekly!$C$1048:$C$1093,Raw_Sales_Weekly!$E$1048:$E$1093),0)</f>
        <v>95</v>
      </c>
      <c r="E214" s="32" t="n">
        <f aca="false">IFERROR(ABS((D214-C214)/C214),"")</f>
        <v>0.144578313253012</v>
      </c>
      <c r="F214" s="18" t="n">
        <f aca="false">ABS(D214-C214)</f>
        <v>12</v>
      </c>
    </row>
    <row r="215" customFormat="false" ht="15" hidden="false" customHeight="true" outlineLevel="0" collapsed="false">
      <c r="A215" s="18" t="s">
        <v>223</v>
      </c>
      <c r="B215" s="31" t="n">
        <f aca="false">Raw_Sales_Weekly!E1099</f>
        <v>52</v>
      </c>
      <c r="C215" s="31" t="n">
        <f aca="false">Raw_Sales_Weekly!C1099</f>
        <v>67</v>
      </c>
      <c r="D215" s="18" t="n">
        <f aca="false">ROUND(FORECAST(B215,Raw_Sales_Weekly!$C$1048:$C$1093,Raw_Sales_Weekly!$E$1048:$E$1093),0)</f>
        <v>95</v>
      </c>
      <c r="E215" s="32" t="n">
        <f aca="false">IFERROR(ABS((D215-C215)/C215),"")</f>
        <v>0.417910447761194</v>
      </c>
      <c r="F215" s="18" t="n">
        <f aca="false">ABS(D215-C215)</f>
        <v>28</v>
      </c>
    </row>
    <row r="216" customFormat="false" ht="15" hidden="false" customHeight="true" outlineLevel="0" collapsed="false">
      <c r="A216" s="18" t="s">
        <v>219</v>
      </c>
      <c r="B216" s="31" t="n">
        <f aca="false">Raw_Sales_Weekly!E990</f>
        <v>47</v>
      </c>
      <c r="C216" s="31" t="n">
        <f aca="false">Raw_Sales_Weekly!C990</f>
        <v>51</v>
      </c>
      <c r="D216" s="18" t="n">
        <f aca="false">ROUND(FORECAST(B216,Raw_Sales_Weekly!$C$944:$C$989,Raw_Sales_Weekly!$E$944:$E$989),0)</f>
        <v>73</v>
      </c>
      <c r="E216" s="32" t="n">
        <f aca="false">IFERROR(ABS((D216-C216)/C216),"")</f>
        <v>0.431372549019608</v>
      </c>
      <c r="F216" s="18" t="n">
        <f aca="false">ABS(D216-C216)</f>
        <v>22</v>
      </c>
    </row>
    <row r="217" customFormat="false" ht="15" hidden="false" customHeight="true" outlineLevel="0" collapsed="false">
      <c r="A217" s="18" t="s">
        <v>219</v>
      </c>
      <c r="B217" s="31" t="n">
        <f aca="false">Raw_Sales_Weekly!E991</f>
        <v>48</v>
      </c>
      <c r="C217" s="31" t="n">
        <f aca="false">Raw_Sales_Weekly!C991</f>
        <v>60</v>
      </c>
      <c r="D217" s="18" t="n">
        <f aca="false">ROUND(FORECAST(B217,Raw_Sales_Weekly!$C$944:$C$989,Raw_Sales_Weekly!$E$944:$E$989),0)</f>
        <v>73</v>
      </c>
      <c r="E217" s="32" t="n">
        <f aca="false">IFERROR(ABS((D217-C217)/C217),"")</f>
        <v>0.216666666666667</v>
      </c>
      <c r="F217" s="18" t="n">
        <f aca="false">ABS(D217-C217)</f>
        <v>13</v>
      </c>
    </row>
    <row r="218" customFormat="false" ht="15" hidden="false" customHeight="true" outlineLevel="0" collapsed="false">
      <c r="A218" s="18" t="s">
        <v>219</v>
      </c>
      <c r="B218" s="31" t="n">
        <f aca="false">Raw_Sales_Weekly!E992</f>
        <v>49</v>
      </c>
      <c r="C218" s="31" t="n">
        <f aca="false">Raw_Sales_Weekly!C992</f>
        <v>57</v>
      </c>
      <c r="D218" s="18" t="n">
        <f aca="false">ROUND(FORECAST(B218,Raw_Sales_Weekly!$C$944:$C$989,Raw_Sales_Weekly!$E$944:$E$989),0)</f>
        <v>74</v>
      </c>
      <c r="E218" s="32" t="n">
        <f aca="false">IFERROR(ABS((D218-C218)/C218),"")</f>
        <v>0.298245614035088</v>
      </c>
      <c r="F218" s="18" t="n">
        <f aca="false">ABS(D218-C218)</f>
        <v>17</v>
      </c>
    </row>
    <row r="219" customFormat="false" ht="15" hidden="false" customHeight="true" outlineLevel="0" collapsed="false">
      <c r="A219" s="18" t="s">
        <v>219</v>
      </c>
      <c r="B219" s="31" t="n">
        <f aca="false">Raw_Sales_Weekly!E993</f>
        <v>50</v>
      </c>
      <c r="C219" s="31" t="n">
        <f aca="false">Raw_Sales_Weekly!C993</f>
        <v>84</v>
      </c>
      <c r="D219" s="18" t="n">
        <f aca="false">ROUND(FORECAST(B219,Raw_Sales_Weekly!$C$944:$C$989,Raw_Sales_Weekly!$E$944:$E$989),0)</f>
        <v>74</v>
      </c>
      <c r="E219" s="32" t="n">
        <f aca="false">IFERROR(ABS((D219-C219)/C219),"")</f>
        <v>0.119047619047619</v>
      </c>
      <c r="F219" s="18" t="n">
        <f aca="false">ABS(D219-C219)</f>
        <v>10</v>
      </c>
    </row>
    <row r="220" customFormat="false" ht="15" hidden="false" customHeight="true" outlineLevel="0" collapsed="false">
      <c r="A220" s="18" t="s">
        <v>219</v>
      </c>
      <c r="B220" s="31" t="n">
        <f aca="false">Raw_Sales_Weekly!E994</f>
        <v>51</v>
      </c>
      <c r="C220" s="31" t="n">
        <f aca="false">Raw_Sales_Weekly!C994</f>
        <v>75</v>
      </c>
      <c r="D220" s="18" t="n">
        <f aca="false">ROUND(FORECAST(B220,Raw_Sales_Weekly!$C$944:$C$989,Raw_Sales_Weekly!$E$944:$E$989),0)</f>
        <v>74</v>
      </c>
      <c r="E220" s="32" t="n">
        <f aca="false">IFERROR(ABS((D220-C220)/C220),"")</f>
        <v>0.0133333333333333</v>
      </c>
      <c r="F220" s="18" t="n">
        <f aca="false">ABS(D220-C220)</f>
        <v>1</v>
      </c>
    </row>
    <row r="221" customFormat="false" ht="15" hidden="false" customHeight="true" outlineLevel="0" collapsed="false">
      <c r="A221" s="18" t="s">
        <v>219</v>
      </c>
      <c r="B221" s="31" t="n">
        <f aca="false">Raw_Sales_Weekly!E995</f>
        <v>52</v>
      </c>
      <c r="C221" s="31" t="n">
        <f aca="false">Raw_Sales_Weekly!C995</f>
        <v>82</v>
      </c>
      <c r="D221" s="18" t="n">
        <f aca="false">ROUND(FORECAST(B221,Raw_Sales_Weekly!$C$944:$C$989,Raw_Sales_Weekly!$E$944:$E$989),0)</f>
        <v>74</v>
      </c>
      <c r="E221" s="32" t="n">
        <f aca="false">IFERROR(ABS((D221-C221)/C221),"")</f>
        <v>0.0975609756097561</v>
      </c>
      <c r="F221" s="18" t="n">
        <f aca="false">ABS(D221-C221)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6" min="5" style="1" width="9"/>
    <col collapsed="false" customWidth="true" hidden="false" outlineLevel="0" max="7" min="7" style="1" width="16"/>
  </cols>
  <sheetData>
    <row r="2" customFormat="false" ht="17.25" hidden="false" customHeight="true" outlineLevel="0" collapsed="false">
      <c r="B2" s="21" t="s">
        <v>373</v>
      </c>
    </row>
    <row r="3" customFormat="false" ht="15" hidden="false" customHeight="true" outlineLevel="0" collapsed="false">
      <c r="B3" s="3" t="s">
        <v>374</v>
      </c>
    </row>
    <row r="5" customFormat="false" ht="15" hidden="false" customHeight="true" outlineLevel="0" collapsed="false">
      <c r="B5" s="24" t="s">
        <v>375</v>
      </c>
      <c r="F5" s="39" t="n">
        <f aca="false">AVERAGE(Forecast_Detail!E6:E221)</f>
        <v>0.605109996543438</v>
      </c>
    </row>
    <row r="6" customFormat="false" ht="15" hidden="false" customHeight="true" outlineLevel="0" collapsed="false">
      <c r="B6" s="24" t="s">
        <v>376</v>
      </c>
      <c r="F6" s="40" t="n">
        <f aca="false">SUM(Forecast_Detail!F6:F221)/SUM(Forecast_Detail!C6:C221)</f>
        <v>0.280537077092601</v>
      </c>
    </row>
    <row r="7" customFormat="false" ht="15" hidden="false" customHeight="true" outlineLevel="0" collapsed="false">
      <c r="B7" s="16" t="s">
        <v>377</v>
      </c>
    </row>
    <row r="8" customFormat="false" ht="25.5" hidden="false" customHeight="true" outlineLevel="0" collapsed="false">
      <c r="A8" s="25" t="s">
        <v>19</v>
      </c>
      <c r="B8" s="25" t="s">
        <v>147</v>
      </c>
      <c r="C8" s="25" t="s">
        <v>378</v>
      </c>
      <c r="D8" s="25" t="s">
        <v>379</v>
      </c>
      <c r="E8" s="25" t="s">
        <v>380</v>
      </c>
      <c r="F8" s="25" t="s">
        <v>381</v>
      </c>
      <c r="G8" s="25" t="s">
        <v>382</v>
      </c>
    </row>
    <row r="9" customFormat="false" ht="15" hidden="false" customHeight="true" outlineLevel="0" collapsed="false">
      <c r="A9" s="18" t="s">
        <v>249</v>
      </c>
      <c r="B9" s="31" t="str">
        <f aca="false">ABC_XYZ_Classification!B6</f>
        <v>Raw Material Item 04 - Raw Material - Metal Stock</v>
      </c>
      <c r="C9" s="18" t="n">
        <v>50</v>
      </c>
      <c r="D9" s="18" t="s">
        <v>383</v>
      </c>
      <c r="E9" s="41" t="n">
        <f aca="false">AVERAGEIF(Forecast_Detail!$A$6:$A$221,A9,Forecast_Detail!$E$6:$E$221)</f>
        <v>0.304330704456439</v>
      </c>
      <c r="F9" s="41" t="n">
        <f aca="false">SUMIF(Forecast_Detail!$A$6:$A$221,A9,Forecast_Detail!$F$6:$F$221)/SUMIF(Forecast_Detail!$A$6:$A$221,A9,Forecast_Detail!$C$6:$C$221)</f>
        <v>0.312252964426877</v>
      </c>
      <c r="G9" s="42" t="str">
        <f aca="false">IF(F9&lt;=0.15,"Good",IF(F9&lt;=0.3,"Fair","Poor"))</f>
        <v>Poor</v>
      </c>
    </row>
    <row r="10" customFormat="false" ht="15" hidden="false" customHeight="true" outlineLevel="0" collapsed="false">
      <c r="A10" s="18" t="s">
        <v>247</v>
      </c>
      <c r="B10" s="31" t="str">
        <f aca="false">ABC_XYZ_Classification!B7</f>
        <v>Raw Material Item 03 - Raw Material - Metal Stock</v>
      </c>
      <c r="C10" s="18" t="n">
        <v>51</v>
      </c>
      <c r="D10" s="18" t="s">
        <v>383</v>
      </c>
      <c r="E10" s="41" t="n">
        <f aca="false">AVERAGEIF(Forecast_Detail!$A$6:$A$221,A10,Forecast_Detail!$E$6:$E$221)</f>
        <v>4.51130430668647</v>
      </c>
      <c r="F10" s="41" t="n">
        <f aca="false">SUMIF(Forecast_Detail!$A$6:$A$221,A10,Forecast_Detail!$F$6:$F$221)/SUMIF(Forecast_Detail!$A$6:$A$221,A10,Forecast_Detail!$C$6:$C$221)</f>
        <v>0.370909090909091</v>
      </c>
      <c r="G10" s="42" t="str">
        <f aca="false">IF(F10&lt;=0.15,"Good",IF(F10&lt;=0.3,"Fair","Poor"))</f>
        <v>Poor</v>
      </c>
    </row>
    <row r="11" customFormat="false" ht="15" hidden="false" customHeight="true" outlineLevel="0" collapsed="false">
      <c r="A11" s="18" t="s">
        <v>228</v>
      </c>
      <c r="B11" s="31" t="str">
        <f aca="false">ABC_XYZ_Classification!B8</f>
        <v>Pneumatic Components Item 01 - Pneumatic Components</v>
      </c>
      <c r="C11" s="18" t="n">
        <v>50</v>
      </c>
      <c r="D11" s="18" t="s">
        <v>383</v>
      </c>
      <c r="E11" s="41" t="n">
        <f aca="false">AVERAGEIF(Forecast_Detail!$A$6:$A$221,A11,Forecast_Detail!$E$6:$E$221)</f>
        <v>0.348963939137123</v>
      </c>
      <c r="F11" s="41" t="n">
        <f aca="false">SUMIF(Forecast_Detail!$A$6:$A$221,A11,Forecast_Detail!$F$6:$F$221)/SUMIF(Forecast_Detail!$A$6:$A$221,A11,Forecast_Detail!$C$6:$C$221)</f>
        <v>0.511415525114155</v>
      </c>
      <c r="G11" s="42" t="str">
        <f aca="false">IF(F11&lt;=0.15,"Good",IF(F11&lt;=0.3,"Fair","Poor"))</f>
        <v>Poor</v>
      </c>
    </row>
    <row r="12" customFormat="false" ht="15" hidden="false" customHeight="true" outlineLevel="0" collapsed="false">
      <c r="A12" s="18" t="s">
        <v>241</v>
      </c>
      <c r="B12" s="31" t="str">
        <f aca="false">ABC_XYZ_Classification!B9</f>
        <v>Raw Material Item 01 - Raw Material - Metal Stock</v>
      </c>
      <c r="C12" s="18" t="n">
        <v>51</v>
      </c>
      <c r="D12" s="18" t="s">
        <v>383</v>
      </c>
      <c r="E12" s="41" t="n">
        <f aca="false">AVERAGEIF(Forecast_Detail!$A$6:$A$221,A12,Forecast_Detail!$E$6:$E$221)</f>
        <v>3.00771129590219</v>
      </c>
      <c r="F12" s="41" t="n">
        <f aca="false">SUMIF(Forecast_Detail!$A$6:$A$221,A12,Forecast_Detail!$F$6:$F$221)/SUMIF(Forecast_Detail!$A$6:$A$221,A12,Forecast_Detail!$C$6:$C$221)</f>
        <v>0.545454545454545</v>
      </c>
      <c r="G12" s="42" t="str">
        <f aca="false">IF(F12&lt;=0.15,"Good",IF(F12&lt;=0.3,"Fair","Poor"))</f>
        <v>Poor</v>
      </c>
    </row>
    <row r="13" customFormat="false" ht="15" hidden="false" customHeight="true" outlineLevel="0" collapsed="false">
      <c r="A13" s="18" t="s">
        <v>199</v>
      </c>
      <c r="B13" s="31" t="str">
        <f aca="false">ABC_XYZ_Classification!B10</f>
        <v>Electric Motors Item 05 - Electric Motors &amp; Drives</v>
      </c>
      <c r="C13" s="18" t="n">
        <v>52</v>
      </c>
      <c r="D13" s="18" t="s">
        <v>383</v>
      </c>
      <c r="E13" s="41" t="n">
        <f aca="false">AVERAGEIF(Forecast_Detail!$A$6:$A$221,A13,Forecast_Detail!$E$6:$E$221)</f>
        <v>0.0806738138827691</v>
      </c>
      <c r="F13" s="41" t="n">
        <f aca="false">SUMIF(Forecast_Detail!$A$6:$A$221,A13,Forecast_Detail!$F$6:$F$221)/SUMIF(Forecast_Detail!$A$6:$A$221,A13,Forecast_Detail!$C$6:$C$221)</f>
        <v>0.0753768844221106</v>
      </c>
      <c r="G13" s="42" t="str">
        <f aca="false">IF(F13&lt;=0.15,"Good",IF(F13&lt;=0.3,"Fair","Poor"))</f>
        <v>Good</v>
      </c>
    </row>
    <row r="14" customFormat="false" ht="15" hidden="false" customHeight="true" outlineLevel="0" collapsed="false">
      <c r="A14" s="18" t="s">
        <v>188</v>
      </c>
      <c r="B14" s="31" t="str">
        <f aca="false">ABC_XYZ_Classification!B11</f>
        <v>Electric Motors Item 01 - Electric Motors &amp; Drives</v>
      </c>
      <c r="C14" s="18" t="n">
        <v>52</v>
      </c>
      <c r="D14" s="18" t="s">
        <v>383</v>
      </c>
      <c r="E14" s="41" t="n">
        <f aca="false">AVERAGEIF(Forecast_Detail!$A$6:$A$221,A14,Forecast_Detail!$E$6:$E$221)</f>
        <v>0.12721159810289</v>
      </c>
      <c r="F14" s="41" t="n">
        <f aca="false">SUMIF(Forecast_Detail!$A$6:$A$221,A14,Forecast_Detail!$F$6:$F$221)/SUMIF(Forecast_Detail!$A$6:$A$221,A14,Forecast_Detail!$C$6:$C$221)</f>
        <v>0.115716753022453</v>
      </c>
      <c r="G14" s="42" t="str">
        <f aca="false">IF(F14&lt;=0.15,"Good",IF(F14&lt;=0.3,"Fair","Poor"))</f>
        <v>Good</v>
      </c>
    </row>
    <row r="15" customFormat="false" ht="15" hidden="false" customHeight="true" outlineLevel="0" collapsed="false">
      <c r="A15" s="18" t="s">
        <v>192</v>
      </c>
      <c r="B15" s="31" t="str">
        <f aca="false">ABC_XYZ_Classification!B12</f>
        <v>Electric Motors Item 02 - Electric Motors &amp; Drives</v>
      </c>
      <c r="C15" s="18" t="n">
        <v>21</v>
      </c>
      <c r="D15" s="18" t="s">
        <v>383</v>
      </c>
      <c r="E15" s="41" t="n">
        <f aca="false">AVERAGEIF(Forecast_Detail!$A$6:$A$221,A15,Forecast_Detail!$E$6:$E$221)</f>
        <v>0.146879253700397</v>
      </c>
      <c r="F15" s="41" t="n">
        <f aca="false">SUMIF(Forecast_Detail!$A$6:$A$221,A15,Forecast_Detail!$F$6:$F$221)/SUMIF(Forecast_Detail!$A$6:$A$221,A15,Forecast_Detail!$C$6:$C$221)</f>
        <v>0.14320987654321</v>
      </c>
      <c r="G15" s="42" t="str">
        <f aca="false">IF(F15&lt;=0.15,"Good",IF(F15&lt;=0.3,"Fair","Poor"))</f>
        <v>Good</v>
      </c>
    </row>
    <row r="16" customFormat="false" ht="15" hidden="false" customHeight="true" outlineLevel="0" collapsed="false">
      <c r="A16" s="18" t="s">
        <v>197</v>
      </c>
      <c r="B16" s="31" t="str">
        <f aca="false">ABC_XYZ_Classification!B13</f>
        <v>Electric Motors Item 04 - Electric Motors &amp; Drives</v>
      </c>
      <c r="C16" s="18" t="n">
        <v>52</v>
      </c>
      <c r="D16" s="18" t="s">
        <v>383</v>
      </c>
      <c r="E16" s="41" t="n">
        <f aca="false">AVERAGEIF(Forecast_Detail!$A$6:$A$221,A16,Forecast_Detail!$E$6:$E$221)</f>
        <v>0.111592737238976</v>
      </c>
      <c r="F16" s="41" t="n">
        <f aca="false">SUMIF(Forecast_Detail!$A$6:$A$221,A16,Forecast_Detail!$F$6:$F$221)/SUMIF(Forecast_Detail!$A$6:$A$221,A16,Forecast_Detail!$C$6:$C$221)</f>
        <v>0.106583072100313</v>
      </c>
      <c r="G16" s="42" t="str">
        <f aca="false">IF(F16&lt;=0.15,"Good",IF(F16&lt;=0.3,"Fair","Poor"))</f>
        <v>Good</v>
      </c>
    </row>
    <row r="17" customFormat="false" ht="15" hidden="false" customHeight="true" outlineLevel="0" collapsed="false">
      <c r="A17" s="18" t="s">
        <v>202</v>
      </c>
      <c r="B17" s="31" t="str">
        <f aca="false">ABC_XYZ_Classification!B14</f>
        <v>Sensors Item 01 - Sensors &amp; Controls</v>
      </c>
      <c r="C17" s="18" t="n">
        <v>52</v>
      </c>
      <c r="D17" s="18" t="s">
        <v>383</v>
      </c>
      <c r="E17" s="41" t="n">
        <f aca="false">AVERAGEIF(Forecast_Detail!$A$6:$A$221,A17,Forecast_Detail!$E$6:$E$221)</f>
        <v>0.91125610068734</v>
      </c>
      <c r="F17" s="41" t="n">
        <f aca="false">SUMIF(Forecast_Detail!$A$6:$A$221,A17,Forecast_Detail!$F$6:$F$221)/SUMIF(Forecast_Detail!$A$6:$A$221,A17,Forecast_Detail!$C$6:$C$221)</f>
        <v>0.637021716649431</v>
      </c>
      <c r="G17" s="42" t="str">
        <f aca="false">IF(F17&lt;=0.15,"Good",IF(F17&lt;=0.3,"Fair","Poor"))</f>
        <v>Poor</v>
      </c>
    </row>
    <row r="18" customFormat="false" ht="15" hidden="false" customHeight="true" outlineLevel="0" collapsed="false">
      <c r="A18" s="18" t="s">
        <v>213</v>
      </c>
      <c r="B18" s="31" t="str">
        <f aca="false">ABC_XYZ_Classification!B15</f>
        <v>Sensors Item 05 - Sensors &amp; Controls</v>
      </c>
      <c r="C18" s="18" t="n">
        <v>52</v>
      </c>
      <c r="D18" s="18" t="s">
        <v>383</v>
      </c>
      <c r="E18" s="41" t="n">
        <f aca="false">AVERAGEIF(Forecast_Detail!$A$6:$A$221,A18,Forecast_Detail!$E$6:$E$221)</f>
        <v>0.105350938447169</v>
      </c>
      <c r="F18" s="41" t="n">
        <f aca="false">SUMIF(Forecast_Detail!$A$6:$A$221,A18,Forecast_Detail!$F$6:$F$221)/SUMIF(Forecast_Detail!$A$6:$A$221,A18,Forecast_Detail!$C$6:$C$221)</f>
        <v>0.092436974789916</v>
      </c>
      <c r="G18" s="42" t="str">
        <f aca="false">IF(F18&lt;=0.15,"Good",IF(F18&lt;=0.3,"Fair","Poor"))</f>
        <v>Good</v>
      </c>
    </row>
    <row r="19" customFormat="false" ht="15" hidden="false" customHeight="true" outlineLevel="0" collapsed="false">
      <c r="A19" s="18" t="s">
        <v>251</v>
      </c>
      <c r="B19" s="31" t="str">
        <f aca="false">ABC_XYZ_Classification!B16</f>
        <v>Raw Material Item 05 - Raw Material - Metal Stock</v>
      </c>
      <c r="C19" s="18" t="n">
        <v>52</v>
      </c>
      <c r="D19" s="18" t="s">
        <v>383</v>
      </c>
      <c r="E19" s="41" t="n">
        <f aca="false">AVERAGEIF(Forecast_Detail!$A$6:$A$221,A19,Forecast_Detail!$E$6:$E$221)</f>
        <v>0.0979086977810744</v>
      </c>
      <c r="F19" s="41" t="n">
        <f aca="false">SUMIF(Forecast_Detail!$A$6:$A$221,A19,Forecast_Detail!$F$6:$F$221)/SUMIF(Forecast_Detail!$A$6:$A$221,A19,Forecast_Detail!$C$6:$C$221)</f>
        <v>0.101449275362319</v>
      </c>
      <c r="G19" s="42" t="str">
        <f aca="false">IF(F19&lt;=0.15,"Good",IF(F19&lt;=0.3,"Fair","Poor"))</f>
        <v>Good</v>
      </c>
    </row>
    <row r="20" customFormat="false" ht="15" hidden="false" customHeight="true" outlineLevel="0" collapsed="false">
      <c r="A20" s="18" t="s">
        <v>210</v>
      </c>
      <c r="B20" s="31" t="str">
        <f aca="false">ABC_XYZ_Classification!B17</f>
        <v>Sensors Item 04 - Sensors &amp; Controls</v>
      </c>
      <c r="C20" s="18" t="n">
        <v>52</v>
      </c>
      <c r="D20" s="18" t="s">
        <v>383</v>
      </c>
      <c r="E20" s="41" t="n">
        <f aca="false">AVERAGEIF(Forecast_Detail!$A$6:$A$221,A20,Forecast_Detail!$E$6:$E$221)</f>
        <v>0.254364182629786</v>
      </c>
      <c r="F20" s="41" t="n">
        <f aca="false">SUMIF(Forecast_Detail!$A$6:$A$221,A20,Forecast_Detail!$F$6:$F$221)/SUMIF(Forecast_Detail!$A$6:$A$221,A20,Forecast_Detail!$C$6:$C$221)</f>
        <v>0.201030927835052</v>
      </c>
      <c r="G20" s="42" t="str">
        <f aca="false">IF(F20&lt;=0.15,"Good",IF(F20&lt;=0.3,"Fair","Poor"))</f>
        <v>Fair</v>
      </c>
    </row>
    <row r="21" customFormat="false" ht="15" hidden="false" customHeight="true" outlineLevel="0" collapsed="false">
      <c r="A21" s="18" t="s">
        <v>232</v>
      </c>
      <c r="B21" s="31" t="str">
        <f aca="false">ABC_XYZ_Classification!B18</f>
        <v>Pneumatic Components Item 02 - Pneumatic Components</v>
      </c>
      <c r="C21" s="18" t="n">
        <v>52</v>
      </c>
      <c r="D21" s="18" t="s">
        <v>383</v>
      </c>
      <c r="E21" s="41" t="n">
        <f aca="false">AVERAGEIF(Forecast_Detail!$A$6:$A$221,A21,Forecast_Detail!$E$6:$E$221)</f>
        <v>1.0789211033525</v>
      </c>
      <c r="F21" s="41" t="n">
        <f aca="false">SUMIF(Forecast_Detail!$A$6:$A$221,A21,Forecast_Detail!$F$6:$F$221)/SUMIF(Forecast_Detail!$A$6:$A$221,A21,Forecast_Detail!$C$6:$C$221)</f>
        <v>0.642570281124498</v>
      </c>
      <c r="G21" s="42" t="str">
        <f aca="false">IF(F21&lt;=0.15,"Good",IF(F21&lt;=0.3,"Fair","Poor"))</f>
        <v>Poor</v>
      </c>
    </row>
    <row r="22" customFormat="false" ht="15" hidden="false" customHeight="true" outlineLevel="0" collapsed="false">
      <c r="A22" s="18" t="s">
        <v>185</v>
      </c>
      <c r="B22" s="31" t="str">
        <f aca="false">ABC_XYZ_Classification!B19</f>
        <v>Bearings Item 05 - Bearings &amp; Bushings</v>
      </c>
      <c r="C22" s="18" t="n">
        <v>52</v>
      </c>
      <c r="D22" s="18" t="s">
        <v>383</v>
      </c>
      <c r="E22" s="41" t="n">
        <f aca="false">AVERAGEIF(Forecast_Detail!$A$6:$A$221,A22,Forecast_Detail!$E$6:$E$221)</f>
        <v>0.22639624372438</v>
      </c>
      <c r="F22" s="41" t="n">
        <f aca="false">SUMIF(Forecast_Detail!$A$6:$A$221,A22,Forecast_Detail!$F$6:$F$221)/SUMIF(Forecast_Detail!$A$6:$A$221,A22,Forecast_Detail!$C$6:$C$221)</f>
        <v>0.210909090909091</v>
      </c>
      <c r="G22" s="42" t="str">
        <f aca="false">IF(F22&lt;=0.15,"Good",IF(F22&lt;=0.3,"Fair","Poor"))</f>
        <v>Fair</v>
      </c>
    </row>
    <row r="23" customFormat="false" ht="15" hidden="false" customHeight="true" outlineLevel="0" collapsed="false">
      <c r="A23" s="18" t="s">
        <v>195</v>
      </c>
      <c r="B23" s="31" t="str">
        <f aca="false">ABC_XYZ_Classification!B20</f>
        <v>Electric Motors Item 03 - Electric Motors &amp; Drives</v>
      </c>
      <c r="C23" s="18" t="n">
        <v>50</v>
      </c>
      <c r="D23" s="18" t="s">
        <v>383</v>
      </c>
      <c r="E23" s="41" t="n">
        <f aca="false">AVERAGEIF(Forecast_Detail!$A$6:$A$221,A23,Forecast_Detail!$E$6:$E$221)</f>
        <v>1.57389859887332</v>
      </c>
      <c r="F23" s="41" t="n">
        <f aca="false">SUMIF(Forecast_Detail!$A$6:$A$221,A23,Forecast_Detail!$F$6:$F$221)/SUMIF(Forecast_Detail!$A$6:$A$221,A23,Forecast_Detail!$C$6:$C$221)</f>
        <v>0.939393939393939</v>
      </c>
      <c r="G23" s="42" t="str">
        <f aca="false">IF(F23&lt;=0.15,"Good",IF(F23&lt;=0.3,"Fair","Poor"))</f>
        <v>Poor</v>
      </c>
    </row>
    <row r="24" customFormat="false" ht="15" hidden="false" customHeight="true" outlineLevel="0" collapsed="false">
      <c r="A24" s="18" t="s">
        <v>234</v>
      </c>
      <c r="B24" s="31" t="str">
        <f aca="false">ABC_XYZ_Classification!B21</f>
        <v>Pneumatic Components Item 03 - Pneumatic Components</v>
      </c>
      <c r="C24" s="18" t="n">
        <v>51</v>
      </c>
      <c r="D24" s="18" t="s">
        <v>383</v>
      </c>
      <c r="E24" s="41" t="n">
        <f aca="false">AVERAGEIF(Forecast_Detail!$A$6:$A$221,A24,Forecast_Detail!$E$6:$E$221)</f>
        <v>1.70695689665846</v>
      </c>
      <c r="F24" s="41" t="n">
        <f aca="false">SUMIF(Forecast_Detail!$A$6:$A$221,A24,Forecast_Detail!$F$6:$F$221)/SUMIF(Forecast_Detail!$A$6:$A$221,A24,Forecast_Detail!$C$6:$C$221)</f>
        <v>0.551440329218107</v>
      </c>
      <c r="G24" s="42" t="str">
        <f aca="false">IF(F24&lt;=0.15,"Good",IF(F24&lt;=0.3,"Fair","Poor"))</f>
        <v>Poor</v>
      </c>
    </row>
    <row r="25" customFormat="false" ht="15" hidden="false" customHeight="true" outlineLevel="0" collapsed="false">
      <c r="A25" s="18" t="s">
        <v>171</v>
      </c>
      <c r="B25" s="31" t="str">
        <f aca="false">ABC_XYZ_Classification!B22</f>
        <v>Fasteners Item 05 - Fasteners &amp; Hardware</v>
      </c>
      <c r="C25" s="18" t="n">
        <v>52</v>
      </c>
      <c r="D25" s="18" t="s">
        <v>383</v>
      </c>
      <c r="E25" s="41" t="n">
        <f aca="false">AVERAGEIF(Forecast_Detail!$A$6:$A$221,A25,Forecast_Detail!$E$6:$E$221)</f>
        <v>0.168344632525228</v>
      </c>
      <c r="F25" s="41" t="n">
        <f aca="false">SUMIF(Forecast_Detail!$A$6:$A$221,A25,Forecast_Detail!$F$6:$F$221)/SUMIF(Forecast_Detail!$A$6:$A$221,A25,Forecast_Detail!$C$6:$C$221)</f>
        <v>0.157342657342657</v>
      </c>
      <c r="G25" s="42" t="str">
        <f aca="false">IF(F25&lt;=0.15,"Good",IF(F25&lt;=0.3,"Fair","Poor"))</f>
        <v>Fair</v>
      </c>
    </row>
    <row r="26" customFormat="false" ht="15" hidden="false" customHeight="true" outlineLevel="0" collapsed="false">
      <c r="A26" s="18" t="s">
        <v>206</v>
      </c>
      <c r="B26" s="31" t="str">
        <f aca="false">ABC_XYZ_Classification!B23</f>
        <v>Sensors Item 02 - Sensors &amp; Controls</v>
      </c>
      <c r="C26" s="18" t="n">
        <v>52</v>
      </c>
      <c r="D26" s="18" t="s">
        <v>383</v>
      </c>
      <c r="E26" s="41" t="n">
        <f aca="false">AVERAGEIF(Forecast_Detail!$A$6:$A$221,A26,Forecast_Detail!$E$6:$E$221)</f>
        <v>0.141930352055352</v>
      </c>
      <c r="F26" s="41" t="n">
        <f aca="false">SUMIF(Forecast_Detail!$A$6:$A$221,A26,Forecast_Detail!$F$6:$F$221)/SUMIF(Forecast_Detail!$A$6:$A$221,A26,Forecast_Detail!$C$6:$C$221)</f>
        <v>0.14168039538715</v>
      </c>
      <c r="G26" s="42" t="str">
        <f aca="false">IF(F26&lt;=0.15,"Good",IF(F26&lt;=0.3,"Fair","Poor"))</f>
        <v>Good</v>
      </c>
    </row>
    <row r="27" customFormat="false" ht="15" hidden="false" customHeight="true" outlineLevel="0" collapsed="false">
      <c r="A27" s="18" t="s">
        <v>160</v>
      </c>
      <c r="B27" s="31" t="str">
        <f aca="false">ABC_XYZ_Classification!B24</f>
        <v>Fasteners Item 02 - Fasteners &amp; Hardware</v>
      </c>
      <c r="C27" s="18" t="n">
        <v>52</v>
      </c>
      <c r="D27" s="18" t="s">
        <v>383</v>
      </c>
      <c r="E27" s="41" t="n">
        <f aca="false">AVERAGEIF(Forecast_Detail!$A$6:$A$221,A27,Forecast_Detail!$E$6:$E$221)</f>
        <v>0.12719276464017</v>
      </c>
      <c r="F27" s="41" t="n">
        <f aca="false">SUMIF(Forecast_Detail!$A$6:$A$221,A27,Forecast_Detail!$F$6:$F$221)/SUMIF(Forecast_Detail!$A$6:$A$221,A27,Forecast_Detail!$C$6:$C$221)</f>
        <v>0.12004530011325</v>
      </c>
      <c r="G27" s="42" t="str">
        <f aca="false">IF(F27&lt;=0.15,"Good",IF(F27&lt;=0.3,"Fair","Poor"))</f>
        <v>Good</v>
      </c>
    </row>
    <row r="28" customFormat="false" ht="15" hidden="false" customHeight="true" outlineLevel="0" collapsed="false">
      <c r="A28" s="18" t="s">
        <v>208</v>
      </c>
      <c r="B28" s="31" t="str">
        <f aca="false">ABC_XYZ_Classification!B25</f>
        <v>Sensors Item 03 - Sensors &amp; Controls</v>
      </c>
      <c r="C28" s="18" t="n">
        <v>17</v>
      </c>
      <c r="D28" s="18" t="s">
        <v>383</v>
      </c>
      <c r="E28" s="41" t="n">
        <f aca="false">AVERAGEIF(Forecast_Detail!$A$6:$A$221,A28,Forecast_Detail!$E$6:$E$221)</f>
        <v>0.75415460809014</v>
      </c>
      <c r="F28" s="41" t="n">
        <f aca="false">SUMIF(Forecast_Detail!$A$6:$A$221,A28,Forecast_Detail!$F$6:$F$221)/SUMIF(Forecast_Detail!$A$6:$A$221,A28,Forecast_Detail!$C$6:$C$221)</f>
        <v>0.772727272727273</v>
      </c>
      <c r="G28" s="42" t="str">
        <f aca="false">IF(F28&lt;=0.15,"Good",IF(F28&lt;=0.3,"Fair","Poor"))</f>
        <v>Poor</v>
      </c>
    </row>
    <row r="29" customFormat="false" ht="15" hidden="false" customHeight="true" outlineLevel="0" collapsed="false">
      <c r="A29" s="18" t="s">
        <v>154</v>
      </c>
      <c r="B29" s="31" t="str">
        <f aca="false">ABC_XYZ_Classification!B26</f>
        <v>Fasteners Item 01 - Fasteners &amp; Hardware</v>
      </c>
      <c r="C29" s="18" t="n">
        <v>52</v>
      </c>
      <c r="D29" s="18" t="s">
        <v>383</v>
      </c>
      <c r="E29" s="41" t="n">
        <f aca="false">AVERAGEIF(Forecast_Detail!$A$6:$A$221,A29,Forecast_Detail!$E$6:$E$221)</f>
        <v>0.482258806699208</v>
      </c>
      <c r="F29" s="41" t="n">
        <f aca="false">SUMIF(Forecast_Detail!$A$6:$A$221,A29,Forecast_Detail!$F$6:$F$221)/SUMIF(Forecast_Detail!$A$6:$A$221,A29,Forecast_Detail!$C$6:$C$221)</f>
        <v>0.325874125874126</v>
      </c>
      <c r="G29" s="42" t="str">
        <f aca="false">IF(F29&lt;=0.15,"Good",IF(F29&lt;=0.3,"Fair","Poor"))</f>
        <v>Poor</v>
      </c>
    </row>
    <row r="30" customFormat="false" ht="15" hidden="false" customHeight="true" outlineLevel="0" collapsed="false">
      <c r="A30" s="18" t="s">
        <v>239</v>
      </c>
      <c r="B30" s="31" t="str">
        <f aca="false">ABC_XYZ_Classification!B27</f>
        <v>Pneumatic Components Item 05 - Pneumatic Components</v>
      </c>
      <c r="C30" s="18" t="n">
        <v>52</v>
      </c>
      <c r="D30" s="18" t="s">
        <v>383</v>
      </c>
      <c r="E30" s="41" t="n">
        <f aca="false">AVERAGEIF(Forecast_Detail!$A$6:$A$221,A30,Forecast_Detail!$E$6:$E$221)</f>
        <v>0.351501629232226</v>
      </c>
      <c r="F30" s="41" t="n">
        <f aca="false">SUMIF(Forecast_Detail!$A$6:$A$221,A30,Forecast_Detail!$F$6:$F$221)/SUMIF(Forecast_Detail!$A$6:$A$221,A30,Forecast_Detail!$C$6:$C$221)</f>
        <v>0.320754716981132</v>
      </c>
      <c r="G30" s="42" t="str">
        <f aca="false">IF(F30&lt;=0.15,"Good",IF(F30&lt;=0.3,"Fair","Poor"))</f>
        <v>Poor</v>
      </c>
    </row>
    <row r="31" customFormat="false" ht="15" hidden="false" customHeight="true" outlineLevel="0" collapsed="false">
      <c r="A31" s="18" t="s">
        <v>183</v>
      </c>
      <c r="B31" s="31" t="str">
        <f aca="false">ABC_XYZ_Classification!B28</f>
        <v>Bearings Item 04 - Bearings &amp; Bushings</v>
      </c>
      <c r="C31" s="18" t="n">
        <v>52</v>
      </c>
      <c r="D31" s="18" t="s">
        <v>383</v>
      </c>
      <c r="E31" s="41" t="n">
        <f aca="false">AVERAGEIF(Forecast_Detail!$A$6:$A$221,A31,Forecast_Detail!$E$6:$E$221)</f>
        <v>0.190336195515659</v>
      </c>
      <c r="F31" s="41" t="n">
        <f aca="false">SUMIF(Forecast_Detail!$A$6:$A$221,A31,Forecast_Detail!$F$6:$F$221)/SUMIF(Forecast_Detail!$A$6:$A$221,A31,Forecast_Detail!$C$6:$C$221)</f>
        <v>0.217090069284065</v>
      </c>
      <c r="G31" s="42" t="str">
        <f aca="false">IF(F31&lt;=0.15,"Good",IF(F31&lt;=0.3,"Fair","Poor"))</f>
        <v>Fair</v>
      </c>
    </row>
    <row r="32" customFormat="false" ht="15" hidden="false" customHeight="true" outlineLevel="0" collapsed="false">
      <c r="A32" s="18" t="s">
        <v>164</v>
      </c>
      <c r="B32" s="31" t="str">
        <f aca="false">ABC_XYZ_Classification!B29</f>
        <v>Fasteners Item 03 - Fasteners &amp; Hardware</v>
      </c>
      <c r="C32" s="18" t="n">
        <v>52</v>
      </c>
      <c r="D32" s="18" t="s">
        <v>383</v>
      </c>
      <c r="E32" s="41" t="n">
        <f aca="false">AVERAGEIF(Forecast_Detail!$A$6:$A$221,A32,Forecast_Detail!$E$6:$E$221)</f>
        <v>0.649221159984187</v>
      </c>
      <c r="F32" s="41" t="n">
        <f aca="false">SUMIF(Forecast_Detail!$A$6:$A$221,A32,Forecast_Detail!$F$6:$F$221)/SUMIF(Forecast_Detail!$A$6:$A$221,A32,Forecast_Detail!$C$6:$C$221)</f>
        <v>0.34716459197787</v>
      </c>
      <c r="G32" s="42" t="str">
        <f aca="false">IF(F32&lt;=0.15,"Good",IF(F32&lt;=0.3,"Fair","Poor"))</f>
        <v>Poor</v>
      </c>
    </row>
    <row r="33" customFormat="false" ht="15" hidden="false" customHeight="true" outlineLevel="0" collapsed="false">
      <c r="A33" s="18" t="s">
        <v>181</v>
      </c>
      <c r="B33" s="31" t="str">
        <f aca="false">ABC_XYZ_Classification!B30</f>
        <v>Bearings Item 03 - Bearings &amp; Bushings</v>
      </c>
      <c r="C33" s="18" t="n">
        <v>52</v>
      </c>
      <c r="D33" s="18" t="s">
        <v>383</v>
      </c>
      <c r="E33" s="41" t="n">
        <f aca="false">AVERAGEIF(Forecast_Detail!$A$6:$A$221,A33,Forecast_Detail!$E$6:$E$221)</f>
        <v>0.260376847968992</v>
      </c>
      <c r="F33" s="41" t="n">
        <f aca="false">SUMIF(Forecast_Detail!$A$6:$A$221,A33,Forecast_Detail!$F$6:$F$221)/SUMIF(Forecast_Detail!$A$6:$A$221,A33,Forecast_Detail!$C$6:$C$221)</f>
        <v>0.235421166306695</v>
      </c>
      <c r="G33" s="42" t="str">
        <f aca="false">IF(F33&lt;=0.15,"Good",IF(F33&lt;=0.3,"Fair","Poor"))</f>
        <v>Fair</v>
      </c>
    </row>
    <row r="34" customFormat="false" ht="15" hidden="false" customHeight="true" outlineLevel="0" collapsed="false">
      <c r="A34" s="18" t="s">
        <v>215</v>
      </c>
      <c r="B34" s="31" t="str">
        <f aca="false">ABC_XYZ_Classification!B31</f>
        <v>Seals Item 01 - Seals &amp; Gaskets</v>
      </c>
      <c r="C34" s="18" t="n">
        <v>52</v>
      </c>
      <c r="D34" s="18" t="s">
        <v>383</v>
      </c>
      <c r="E34" s="41" t="n">
        <f aca="false">AVERAGEIF(Forecast_Detail!$A$6:$A$221,A34,Forecast_Detail!$E$6:$E$221)</f>
        <v>0.375517274418007</v>
      </c>
      <c r="F34" s="41" t="n">
        <f aca="false">SUMIF(Forecast_Detail!$A$6:$A$221,A34,Forecast_Detail!$F$6:$F$221)/SUMIF(Forecast_Detail!$A$6:$A$221,A34,Forecast_Detail!$C$6:$C$221)</f>
        <v>0.313929313929314</v>
      </c>
      <c r="G34" s="42" t="str">
        <f aca="false">IF(F34&lt;=0.15,"Good",IF(F34&lt;=0.3,"Fair","Poor"))</f>
        <v>Poor</v>
      </c>
    </row>
    <row r="35" customFormat="false" ht="15" hidden="false" customHeight="true" outlineLevel="0" collapsed="false">
      <c r="A35" s="18" t="s">
        <v>173</v>
      </c>
      <c r="B35" s="31" t="str">
        <f aca="false">ABC_XYZ_Classification!B32</f>
        <v>Bearings Item 01 - Bearings &amp; Bushings</v>
      </c>
      <c r="C35" s="18" t="n">
        <v>52</v>
      </c>
      <c r="D35" s="18" t="s">
        <v>383</v>
      </c>
      <c r="E35" s="41" t="n">
        <f aca="false">AVERAGEIF(Forecast_Detail!$A$6:$A$221,A35,Forecast_Detail!$E$6:$E$221)</f>
        <v>0.409497723061293</v>
      </c>
      <c r="F35" s="41" t="n">
        <f aca="false">SUMIF(Forecast_Detail!$A$6:$A$221,A35,Forecast_Detail!$F$6:$F$221)/SUMIF(Forecast_Detail!$A$6:$A$221,A35,Forecast_Detail!$C$6:$C$221)</f>
        <v>0.293814432989691</v>
      </c>
      <c r="G35" s="42" t="str">
        <f aca="false">IF(F35&lt;=0.15,"Good",IF(F35&lt;=0.3,"Fair","Poor"))</f>
        <v>Fair</v>
      </c>
    </row>
    <row r="36" customFormat="false" ht="15" hidden="false" customHeight="true" outlineLevel="0" collapsed="false">
      <c r="A36" s="18" t="s">
        <v>254</v>
      </c>
      <c r="B36" s="31" t="str">
        <f aca="false">ABC_XYZ_Classification!B33</f>
        <v>Packaging Materials Item 01 - Packaging Materials</v>
      </c>
      <c r="C36" s="18" t="n">
        <v>52</v>
      </c>
      <c r="D36" s="18" t="s">
        <v>383</v>
      </c>
      <c r="E36" s="41" t="n">
        <f aca="false">AVERAGEIF(Forecast_Detail!$A$6:$A$221,A36,Forecast_Detail!$E$6:$E$221)</f>
        <v>0.125375168032589</v>
      </c>
      <c r="F36" s="41" t="n">
        <f aca="false">SUMIF(Forecast_Detail!$A$6:$A$221,A36,Forecast_Detail!$F$6:$F$221)/SUMIF(Forecast_Detail!$A$6:$A$221,A36,Forecast_Detail!$C$6:$C$221)</f>
        <v>0.118362831858407</v>
      </c>
      <c r="G36" s="42" t="str">
        <f aca="false">IF(F36&lt;=0.15,"Good",IF(F36&lt;=0.3,"Fair","Poor"))</f>
        <v>Good</v>
      </c>
    </row>
    <row r="37" customFormat="false" ht="15" hidden="false" customHeight="true" outlineLevel="0" collapsed="false">
      <c r="A37" s="18" t="s">
        <v>236</v>
      </c>
      <c r="B37" s="31" t="str">
        <f aca="false">ABC_XYZ_Classification!B34</f>
        <v>Pneumatic Components Item 04 - Pneumatic Components</v>
      </c>
      <c r="C37" s="18" t="n">
        <v>20</v>
      </c>
      <c r="D37" s="18" t="s">
        <v>383</v>
      </c>
      <c r="E37" s="41" t="n">
        <f aca="false">AVERAGEIF(Forecast_Detail!$A$6:$A$221,A37,Forecast_Detail!$E$6:$E$221)</f>
        <v>1.18347532940556</v>
      </c>
      <c r="F37" s="41" t="n">
        <f aca="false">SUMIF(Forecast_Detail!$A$6:$A$221,A37,Forecast_Detail!$F$6:$F$221)/SUMIF(Forecast_Detail!$A$6:$A$221,A37,Forecast_Detail!$C$6:$C$221)</f>
        <v>0.632596685082873</v>
      </c>
      <c r="G37" s="42" t="str">
        <f aca="false">IF(F37&lt;=0.15,"Good",IF(F37&lt;=0.3,"Fair","Poor"))</f>
        <v>Poor</v>
      </c>
    </row>
    <row r="38" customFormat="false" ht="15" hidden="false" customHeight="true" outlineLevel="0" collapsed="false">
      <c r="A38" s="18" t="s">
        <v>258</v>
      </c>
      <c r="B38" s="31" t="str">
        <f aca="false">ABC_XYZ_Classification!B35</f>
        <v>Packaging Materials Item 02 - Packaging Materials</v>
      </c>
      <c r="C38" s="18" t="n">
        <v>52</v>
      </c>
      <c r="D38" s="18" t="s">
        <v>383</v>
      </c>
      <c r="E38" s="41" t="n">
        <f aca="false">AVERAGEIF(Forecast_Detail!$A$6:$A$221,A38,Forecast_Detail!$E$6:$E$221)</f>
        <v>0.824269140736309</v>
      </c>
      <c r="F38" s="41" t="n">
        <f aca="false">SUMIF(Forecast_Detail!$A$6:$A$221,A38,Forecast_Detail!$F$6:$F$221)/SUMIF(Forecast_Detail!$A$6:$A$221,A38,Forecast_Detail!$C$6:$C$221)</f>
        <v>0.356382978723404</v>
      </c>
      <c r="G38" s="42" t="str">
        <f aca="false">IF(F38&lt;=0.15,"Good",IF(F38&lt;=0.3,"Fair","Poor"))</f>
        <v>Poor</v>
      </c>
    </row>
    <row r="39" customFormat="false" ht="15" hidden="false" customHeight="true" outlineLevel="0" collapsed="false">
      <c r="A39" s="18" t="s">
        <v>264</v>
      </c>
      <c r="B39" s="31" t="str">
        <f aca="false">ABC_XYZ_Classification!B36</f>
        <v>Packaging Materials Item 05 - Packaging Materials</v>
      </c>
      <c r="C39" s="18" t="n">
        <v>52</v>
      </c>
      <c r="D39" s="18" t="s">
        <v>383</v>
      </c>
      <c r="E39" s="41" t="n">
        <f aca="false">AVERAGEIF(Forecast_Detail!$A$6:$A$221,A39,Forecast_Detail!$E$6:$E$221)</f>
        <v>0.119395987265284</v>
      </c>
      <c r="F39" s="41" t="n">
        <f aca="false">SUMIF(Forecast_Detail!$A$6:$A$221,A39,Forecast_Detail!$F$6:$F$221)/SUMIF(Forecast_Detail!$A$6:$A$221,A39,Forecast_Detail!$C$6:$C$221)</f>
        <v>0.11496062992126</v>
      </c>
      <c r="G39" s="42" t="str">
        <f aca="false">IF(F39&lt;=0.15,"Good",IF(F39&lt;=0.3,"Fair","Poor"))</f>
        <v>Good</v>
      </c>
    </row>
    <row r="40" customFormat="false" ht="15" hidden="false" customHeight="true" outlineLevel="0" collapsed="false">
      <c r="A40" s="18" t="s">
        <v>262</v>
      </c>
      <c r="B40" s="31" t="str">
        <f aca="false">ABC_XYZ_Classification!B37</f>
        <v>Packaging Materials Item 04 - Packaging Materials</v>
      </c>
      <c r="C40" s="18" t="n">
        <v>52</v>
      </c>
      <c r="D40" s="18" t="s">
        <v>383</v>
      </c>
      <c r="E40" s="41" t="n">
        <f aca="false">AVERAGEIF(Forecast_Detail!$A$6:$A$221,A40,Forecast_Detail!$E$6:$E$221)</f>
        <v>0.0543419910435157</v>
      </c>
      <c r="F40" s="41" t="n">
        <f aca="false">SUMIF(Forecast_Detail!$A$6:$A$221,A40,Forecast_Detail!$F$6:$F$221)/SUMIF(Forecast_Detail!$A$6:$A$221,A40,Forecast_Detail!$C$6:$C$221)</f>
        <v>0.0554339897884756</v>
      </c>
      <c r="G40" s="42" t="str">
        <f aca="false">IF(F40&lt;=0.15,"Good",IF(F40&lt;=0.3,"Fair","Poor"))</f>
        <v>Good</v>
      </c>
    </row>
    <row r="41" customFormat="false" ht="15" hidden="false" customHeight="true" outlineLevel="0" collapsed="false">
      <c r="A41" s="18" t="s">
        <v>221</v>
      </c>
      <c r="B41" s="31" t="str">
        <f aca="false">ABC_XYZ_Classification!B38</f>
        <v>Seals Item 03 - Seals &amp; Gaskets</v>
      </c>
      <c r="C41" s="18" t="n">
        <v>52</v>
      </c>
      <c r="D41" s="18" t="s">
        <v>383</v>
      </c>
      <c r="E41" s="41" t="n">
        <f aca="false">AVERAGEIF(Forecast_Detail!$A$6:$A$221,A41,Forecast_Detail!$E$6:$E$221)</f>
        <v>0.101622441635003</v>
      </c>
      <c r="F41" s="41" t="n">
        <f aca="false">SUMIF(Forecast_Detail!$A$6:$A$221,A41,Forecast_Detail!$F$6:$F$221)/SUMIF(Forecast_Detail!$A$6:$A$221,A41,Forecast_Detail!$C$6:$C$221)</f>
        <v>0.1003861003861</v>
      </c>
      <c r="G41" s="42" t="str">
        <f aca="false">IF(F41&lt;=0.15,"Good",IF(F41&lt;=0.3,"Fair","Poor"))</f>
        <v>Good</v>
      </c>
    </row>
    <row r="42" customFormat="false" ht="15" hidden="false" customHeight="true" outlineLevel="0" collapsed="false">
      <c r="A42" s="18" t="s">
        <v>178</v>
      </c>
      <c r="B42" s="31" t="str">
        <f aca="false">ABC_XYZ_Classification!B39</f>
        <v>Bearings Item 02 - Bearings &amp; Bushings</v>
      </c>
      <c r="C42" s="18" t="n">
        <v>10</v>
      </c>
      <c r="D42" s="18" t="s">
        <v>384</v>
      </c>
      <c r="E42" s="42" t="s">
        <v>385</v>
      </c>
      <c r="F42" s="42" t="s">
        <v>385</v>
      </c>
      <c r="G42" s="42" t="s">
        <v>386</v>
      </c>
    </row>
    <row r="43" customFormat="false" ht="15" hidden="false" customHeight="true" outlineLevel="0" collapsed="false">
      <c r="A43" s="18" t="s">
        <v>167</v>
      </c>
      <c r="B43" s="31" t="str">
        <f aca="false">ABC_XYZ_Classification!B40</f>
        <v>Fasteners Item 04 - Fasteners &amp; Hardware</v>
      </c>
      <c r="C43" s="18" t="n">
        <v>12</v>
      </c>
      <c r="D43" s="18" t="s">
        <v>384</v>
      </c>
      <c r="E43" s="42" t="s">
        <v>385</v>
      </c>
      <c r="F43" s="42" t="s">
        <v>385</v>
      </c>
      <c r="G43" s="42" t="s">
        <v>386</v>
      </c>
    </row>
    <row r="44" customFormat="false" ht="15" hidden="false" customHeight="true" outlineLevel="0" collapsed="false">
      <c r="A44" s="18" t="s">
        <v>226</v>
      </c>
      <c r="B44" s="31" t="str">
        <f aca="false">ABC_XYZ_Classification!B41</f>
        <v>Seals Item 05 - Seals &amp; Gaskets</v>
      </c>
      <c r="C44" s="18" t="n">
        <v>52</v>
      </c>
      <c r="D44" s="18" t="s">
        <v>383</v>
      </c>
      <c r="E44" s="41" t="n">
        <f aca="false">AVERAGEIF(Forecast_Detail!$A$6:$A$221,A44,Forecast_Detail!$E$6:$E$221)</f>
        <v>0.576275711179959</v>
      </c>
      <c r="F44" s="41" t="n">
        <f aca="false">SUMIF(Forecast_Detail!$A$6:$A$221,A44,Forecast_Detail!$F$6:$F$221)/SUMIF(Forecast_Detail!$A$6:$A$221,A44,Forecast_Detail!$C$6:$C$221)</f>
        <v>0.434456928838951</v>
      </c>
      <c r="G44" s="42" t="str">
        <f aca="false">IF(F44&lt;=0.15,"Good",IF(F44&lt;=0.3,"Fair","Poor"))</f>
        <v>Poor</v>
      </c>
    </row>
    <row r="45" customFormat="false" ht="15" hidden="false" customHeight="true" outlineLevel="0" collapsed="false">
      <c r="A45" s="18" t="s">
        <v>245</v>
      </c>
      <c r="B45" s="31" t="str">
        <f aca="false">ABC_XYZ_Classification!B42</f>
        <v>Raw Material Item 02 - Raw Material - Metal Stock</v>
      </c>
      <c r="C45" s="18" t="n">
        <v>5</v>
      </c>
      <c r="D45" s="18" t="s">
        <v>384</v>
      </c>
      <c r="E45" s="42" t="s">
        <v>385</v>
      </c>
      <c r="F45" s="42" t="s">
        <v>385</v>
      </c>
      <c r="G45" s="42" t="s">
        <v>386</v>
      </c>
    </row>
    <row r="46" customFormat="false" ht="15" hidden="false" customHeight="true" outlineLevel="0" collapsed="false">
      <c r="A46" s="18" t="s">
        <v>223</v>
      </c>
      <c r="B46" s="31" t="str">
        <f aca="false">ABC_XYZ_Classification!B43</f>
        <v>Seals Item 04 - Seals &amp; Gaskets</v>
      </c>
      <c r="C46" s="18" t="n">
        <v>52</v>
      </c>
      <c r="D46" s="18" t="s">
        <v>383</v>
      </c>
      <c r="E46" s="41" t="n">
        <f aca="false">AVERAGEIF(Forecast_Detail!$A$6:$A$221,A46,Forecast_Detail!$E$6:$E$221)</f>
        <v>0.217887665349054</v>
      </c>
      <c r="F46" s="41" t="n">
        <f aca="false">SUMIF(Forecast_Detail!$A$6:$A$221,A46,Forecast_Detail!$F$6:$F$221)/SUMIF(Forecast_Detail!$A$6:$A$221,A46,Forecast_Detail!$C$6:$C$221)</f>
        <v>0.201271186440678</v>
      </c>
      <c r="G46" s="42" t="str">
        <f aca="false">IF(F46&lt;=0.15,"Good",IF(F46&lt;=0.3,"Fair","Poor"))</f>
        <v>Fair</v>
      </c>
    </row>
    <row r="47" customFormat="false" ht="15" hidden="false" customHeight="true" outlineLevel="0" collapsed="false">
      <c r="A47" s="18" t="s">
        <v>219</v>
      </c>
      <c r="B47" s="31" t="str">
        <f aca="false">ABC_XYZ_Classification!B44</f>
        <v>Seals Item 02 - Seals &amp; Gaskets</v>
      </c>
      <c r="C47" s="18" t="n">
        <v>52</v>
      </c>
      <c r="D47" s="18" t="s">
        <v>383</v>
      </c>
      <c r="E47" s="41" t="n">
        <f aca="false">AVERAGEIF(Forecast_Detail!$A$6:$A$221,A47,Forecast_Detail!$E$6:$E$221)</f>
        <v>0.196037792952012</v>
      </c>
      <c r="F47" s="41" t="n">
        <f aca="false">SUMIF(Forecast_Detail!$A$6:$A$221,A47,Forecast_Detail!$F$6:$F$221)/SUMIF(Forecast_Detail!$A$6:$A$221,A47,Forecast_Detail!$C$6:$C$221)</f>
        <v>0.17359413202934</v>
      </c>
      <c r="G47" s="42" t="str">
        <f aca="false">IF(F47&lt;=0.15,"Good",IF(F47&lt;=0.3,"Fair","Poor"))</f>
        <v>Fair</v>
      </c>
    </row>
    <row r="48" customFormat="false" ht="15" hidden="false" customHeight="true" outlineLevel="0" collapsed="false">
      <c r="A48" s="18" t="s">
        <v>260</v>
      </c>
      <c r="B48" s="31" t="str">
        <f aca="false">ABC_XYZ_Classification!B45</f>
        <v>Packaging Materials Item 03 - Packaging Materials</v>
      </c>
      <c r="C48" s="18" t="n">
        <v>13</v>
      </c>
      <c r="D48" s="18" t="s">
        <v>384</v>
      </c>
      <c r="E48" s="42" t="s">
        <v>385</v>
      </c>
      <c r="F48" s="42" t="s">
        <v>385</v>
      </c>
      <c r="G48" s="42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2026-07-14T02:49:02Z</dcterms:created>
  <dc:creator>openpyxl</dc:creator>
  <dc:description/>
  <dc:language>en-US</dc:language>
  <cp:lastModifiedBy/>
  <dcterms:modified xsi:type="dcterms:W3CDTF">2026-07-14T03:08:20Z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